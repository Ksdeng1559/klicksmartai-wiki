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6-Storey Model" sheetId="2" state="visible" r:id="rId2"/>
    <sheet xmlns:r="http://schemas.openxmlformats.org/officeDocument/2006/relationships" name="8-Storey Mode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sidual Land Val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(#,##0);_(&quot;$&quot;* &quot;-&quot;??_);_(@_)"/>
  </numFmts>
  <fonts count="21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2"/>
    </font>
    <font>
      <sz val="11"/>
    </font>
    <font>
      <color rgb="00000000"/>
      <sz val="11"/>
    </font>
    <font>
      <b val="1"/>
      <color rgb="00FFFFFF"/>
      <sz val="11"/>
    </font>
    <font>
      <b val="1"/>
      <sz val="11"/>
    </font>
    <font>
      <i val="1"/>
      <sz val="10"/>
    </font>
    <font>
      <b val="1"/>
      <color rgb="00FFFFFF"/>
      <sz val="14"/>
    </font>
    <font>
      <color rgb="00FFFFFF"/>
      <sz val="10"/>
    </font>
    <font>
      <color rgb="00555555"/>
      <sz val="10"/>
    </font>
    <font>
      <b val="1"/>
      <color rgb="00FFFFFF"/>
      <sz val="10"/>
    </font>
    <font>
      <color rgb="00666666"/>
      <sz val="10"/>
    </font>
    <font>
      <b val="1"/>
      <color rgb="00000000"/>
      <sz val="11"/>
    </font>
    <font>
      <b val="1"/>
      <color rgb="00555555"/>
      <sz val="10"/>
    </font>
    <font>
      <b val="1"/>
      <color rgb="009C0006"/>
      <sz val="11"/>
    </font>
    <font>
      <i val="1"/>
      <color rgb="00555555"/>
      <sz val="10"/>
    </font>
    <font>
      <i val="1"/>
      <color rgb="00666666"/>
      <sz val="10"/>
    </font>
    <font>
      <i val="1"/>
      <color rgb="00FFFFFF"/>
      <sz val="10"/>
    </font>
    <font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AC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3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7" fillId="4" borderId="1" applyAlignment="1" pivotButton="0" quotePrefix="0" xfId="0">
      <alignment horizontal="left" vertical="center" indent="1"/>
    </xf>
    <xf numFmtId="3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7" fillId="5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7" borderId="1" applyAlignment="1" pivotButton="0" quotePrefix="0" xfId="0">
      <alignment horizontal="left" vertical="center" indent="1"/>
    </xf>
    <xf numFmtId="10" fontId="7" fillId="7" borderId="1" applyAlignment="1" pivotButton="0" quotePrefix="0" xfId="0">
      <alignment horizontal="right" vertical="center"/>
    </xf>
    <xf numFmtId="0" fontId="0" fillId="7" borderId="1" pivotButton="0" quotePrefix="0" xfId="0"/>
    <xf numFmtId="10" fontId="7" fillId="5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 inden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5" borderId="1" pivotButton="0" quotePrefix="0" xfId="0"/>
    <xf numFmtId="0" fontId="11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11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indent="2"/>
    </xf>
    <xf numFmtId="0" fontId="7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0" fillId="6" borderId="0" pivotButton="0" quotePrefix="0" xfId="0"/>
    <xf numFmtId="3" fontId="4" fillId="4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indent="1"/>
    </xf>
    <xf numFmtId="164" fontId="7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left" vertical="center" indent="1"/>
    </xf>
    <xf numFmtId="164" fontId="16" fillId="10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left" vertical="center" indent="1"/>
    </xf>
    <xf numFmtId="0" fontId="17" fillId="0" borderId="0" applyAlignment="1" pivotButton="0" quotePrefix="0" xfId="0">
      <alignment wrapText="1"/>
    </xf>
    <xf numFmtId="164" fontId="7" fillId="5" borderId="1" applyAlignment="1" pivotButton="0" quotePrefix="0" xfId="0">
      <alignment horizontal="left" vertical="center" indent="1"/>
    </xf>
    <xf numFmtId="164" fontId="7" fillId="4" borderId="1" applyAlignment="1" pivotButton="0" quotePrefix="0" xfId="0">
      <alignment horizontal="left" vertical="center" indent="1"/>
    </xf>
    <xf numFmtId="10" fontId="16" fillId="10" borderId="1" applyAlignment="1" pivotButton="0" quotePrefix="0" xfId="0">
      <alignment horizontal="right" vertical="center" indent="1"/>
    </xf>
    <xf numFmtId="10" fontId="4" fillId="4" borderId="1" applyAlignment="1" pivotButton="0" quotePrefix="0" xfId="0">
      <alignment horizontal="right" vertical="center" indent="1"/>
    </xf>
    <xf numFmtId="0" fontId="4" fillId="4" borderId="1" applyAlignment="1" pivotButton="0" quotePrefix="0" xfId="0">
      <alignment horizontal="right" vertical="center" inden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right" vertical="center"/>
    </xf>
    <xf numFmtId="0" fontId="19" fillId="2" borderId="1" applyAlignment="1" pivotButton="0" quotePrefix="0" xfId="0">
      <alignment horizontal="left" vertical="center"/>
    </xf>
    <xf numFmtId="0" fontId="20" fillId="8" borderId="0" applyAlignment="1" pivotButton="0" quotePrefix="0" xfId="0">
      <alignment vertical="center" wrapText="1" indent="1"/>
    </xf>
    <xf numFmtId="0" fontId="7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2"/>
    </xf>
    <xf numFmtId="0" fontId="4" fillId="2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276221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Garrett Health District Residences — Residual Land Value Analysis</t>
        </is>
      </c>
    </row>
    <row r="2" ht="22" customHeight="1">
      <c r="A2" s="2" t="inlineStr">
        <is>
          <t>Purpose-Built Rental Development | New Westminster (Sapperton) | Near Royal Columbian Hospital</t>
        </is>
      </c>
    </row>
    <row r="3" ht="8" customHeight="1"/>
    <row r="4" ht="18" customHeight="1">
      <c r="A4" s="3" t="inlineStr">
        <is>
          <t>DEVELOPMENT PARAMETERS</t>
        </is>
      </c>
    </row>
    <row r="5" ht="18" customHeight="1">
      <c r="A5" s="4" t="inlineStr">
        <is>
          <t>Site</t>
        </is>
      </c>
      <c r="B5" s="5" t="inlineStr">
        <is>
          <t>417, 419 &amp; Adjacent Garrett St Parcel, New Westminster</t>
        </is>
      </c>
      <c r="C5" s="6" t="n"/>
      <c r="D5" s="6" t="n"/>
      <c r="E5" s="6" t="n"/>
      <c r="F5" s="6" t="n"/>
    </row>
    <row r="6" ht="18" customHeight="1">
      <c r="A6" s="7" t="inlineStr">
        <is>
          <t>Combined Lot Area</t>
        </is>
      </c>
      <c r="B6" s="8" t="inlineStr">
        <is>
          <t>15,000 sqft</t>
        </is>
      </c>
      <c r="C6" s="9" t="n"/>
      <c r="D6" s="9" t="n"/>
      <c r="E6" s="9" t="n"/>
      <c r="F6" s="9" t="n"/>
    </row>
    <row r="7" ht="18" customHeight="1">
      <c r="A7" s="4" t="inlineStr">
        <is>
          <t>Current Zoning</t>
        </is>
      </c>
      <c r="B7" s="5" t="inlineStr">
        <is>
          <t>RS (requires rezoning to RT/RM for multi-unit)</t>
        </is>
      </c>
      <c r="C7" s="6" t="n"/>
      <c r="D7" s="6" t="n"/>
      <c r="E7" s="6" t="n"/>
      <c r="F7" s="6" t="n"/>
    </row>
    <row r="8" ht="18" customHeight="1">
      <c r="A8" s="7" t="inlineStr">
        <is>
          <t>Location Class</t>
        </is>
      </c>
      <c r="B8" s="8" t="inlineStr">
        <is>
          <t>TOD Tier 3 (400–800m from Sapperton SkyTrain Station)</t>
        </is>
      </c>
      <c r="C8" s="9" t="n"/>
      <c r="D8" s="9" t="n"/>
      <c r="E8" s="9" t="n"/>
      <c r="F8" s="9" t="n"/>
    </row>
    <row r="9" ht="18" customHeight="1">
      <c r="A9" s="4" t="inlineStr">
        <is>
          <t>Max FSR (BC TOD Legislation)</t>
        </is>
      </c>
      <c r="B9" s="5" t="inlineStr">
        <is>
          <t>3.0</t>
        </is>
      </c>
      <c r="C9" s="6" t="n"/>
      <c r="D9" s="6" t="n"/>
      <c r="E9" s="6" t="n"/>
      <c r="F9" s="6" t="n"/>
    </row>
    <row r="10" ht="18" customHeight="1">
      <c r="A10" s="7" t="inlineStr">
        <is>
          <t>Scenario A: Storeys / GFA</t>
        </is>
      </c>
      <c r="B10" s="8" t="inlineStr">
        <is>
          <t>6 storeys / 45,000 sqft</t>
        </is>
      </c>
      <c r="C10" s="9" t="n"/>
      <c r="D10" s="9" t="n"/>
      <c r="E10" s="9" t="n"/>
      <c r="F10" s="9" t="n"/>
    </row>
    <row r="11" ht="18" customHeight="1">
      <c r="A11" s="4" t="inlineStr">
        <is>
          <t>Scenario B: Storeys / GFA</t>
        </is>
      </c>
      <c r="B11" s="5" t="inlineStr">
        <is>
          <t>8 storeys / 45,000 sqft</t>
        </is>
      </c>
      <c r="C11" s="6" t="n"/>
      <c r="D11" s="6" t="n"/>
      <c r="E11" s="6" t="n"/>
      <c r="F11" s="6" t="n"/>
    </row>
    <row r="12" ht="18" customHeight="1">
      <c r="A12" s="7" t="inlineStr">
        <is>
          <t>Average Unit Size</t>
        </is>
      </c>
      <c r="B12" s="8" t="inlineStr">
        <is>
          <t>700 sqft</t>
        </is>
      </c>
      <c r="C12" s="9" t="n"/>
      <c r="D12" s="9" t="n"/>
      <c r="E12" s="9" t="n"/>
      <c r="F12" s="9" t="n"/>
    </row>
    <row r="13" ht="18" customHeight="1">
      <c r="A13" s="4" t="inlineStr">
        <is>
          <t>Gross-Up Factor (gross/net)</t>
        </is>
      </c>
      <c r="B13" s="5" t="inlineStr">
        <is>
          <t>1.18</t>
        </is>
      </c>
      <c r="C13" s="6" t="n"/>
      <c r="D13" s="6" t="n"/>
      <c r="E13" s="6" t="n"/>
      <c r="F13" s="6" t="n"/>
    </row>
    <row r="14" ht="18" customHeight="1"/>
    <row r="15" ht="18" customHeight="1">
      <c r="A15" s="3" t="inlineStr">
        <is>
          <t>KEY ASSUMPTIONS</t>
        </is>
      </c>
    </row>
    <row r="16" ht="18" customHeight="1">
      <c r="A16" s="10" t="inlineStr">
        <is>
          <t>Item</t>
        </is>
      </c>
      <c r="B16" s="10" t="inlineStr">
        <is>
          <t>Base Case</t>
        </is>
      </c>
      <c r="C16" s="10" t="inlineStr">
        <is>
          <t>Scenario A (6-Storey)</t>
        </is>
      </c>
      <c r="D16" s="10" t="inlineStr">
        <is>
          <t>Scenario B (8-Storey)</t>
        </is>
      </c>
      <c r="E16" s="10" t="inlineStr"/>
      <c r="F16" s="10" t="inlineStr"/>
    </row>
    <row r="17" ht="18" customHeight="1">
      <c r="A17" s="11" t="inlineStr">
        <is>
          <t>Construction Cost (per sqft gross)</t>
        </is>
      </c>
      <c r="B17" s="11" t="inlineStr">
        <is>
          <t>$430</t>
        </is>
      </c>
      <c r="C17" s="11" t="inlineStr">
        <is>
          <t>$430</t>
        </is>
      </c>
      <c r="D17" s="11" t="inlineStr">
        <is>
          <t>$430</t>
        </is>
      </c>
    </row>
    <row r="18" ht="18" customHeight="1">
      <c r="A18" s="12" t="inlineStr">
        <is>
          <t>Average Monthly Rent</t>
        </is>
      </c>
      <c r="B18" s="12" t="inlineStr">
        <is>
          <t>$2,100</t>
        </is>
      </c>
      <c r="C18" s="12" t="inlineStr">
        <is>
          <t>$2,100</t>
        </is>
      </c>
      <c r="D18" s="12" t="inlineStr">
        <is>
          <t>$2,100</t>
        </is>
      </c>
    </row>
    <row r="19" ht="18" customHeight="1">
      <c r="A19" s="11" t="inlineStr">
        <is>
          <t>Vacancy Allowance</t>
        </is>
      </c>
      <c r="B19" s="11" t="inlineStr">
        <is>
          <t>2%</t>
        </is>
      </c>
      <c r="C19" s="11" t="inlineStr">
        <is>
          <t>2%</t>
        </is>
      </c>
      <c r="D19" s="11" t="inlineStr">
        <is>
          <t>2%</t>
        </is>
      </c>
    </row>
    <row r="20" ht="18" customHeight="1">
      <c r="A20" s="12" t="inlineStr">
        <is>
          <t>Operating Cost (per sqft net)</t>
        </is>
      </c>
      <c r="B20" s="12" t="inlineStr">
        <is>
          <t>$9.50/yr</t>
        </is>
      </c>
      <c r="C20" s="12" t="inlineStr">
        <is>
          <t>$9.50/yr</t>
        </is>
      </c>
      <c r="D20" s="12" t="inlineStr">
        <is>
          <t>$9.50/yr</t>
        </is>
      </c>
    </row>
    <row r="21" ht="18" customHeight="1">
      <c r="A21" s="11" t="inlineStr">
        <is>
          <t>Cap Rate (stabilized)</t>
        </is>
      </c>
      <c r="B21" s="11" t="inlineStr">
        <is>
          <t>5.75%</t>
        </is>
      </c>
      <c r="C21" s="11" t="inlineStr">
        <is>
          <t>5.75%</t>
        </is>
      </c>
      <c r="D21" s="11" t="inlineStr">
        <is>
          <t>5.75%</t>
        </is>
      </c>
    </row>
    <row r="22" ht="18" customHeight="1">
      <c r="A22" s="12" t="inlineStr">
        <is>
          <t>Parking Ratio (TOD)</t>
        </is>
      </c>
      <c r="B22" s="12" t="inlineStr">
        <is>
          <t>0.4/unit</t>
        </is>
      </c>
      <c r="C22" s="12" t="inlineStr">
        <is>
          <t>0.4/unit</t>
        </is>
      </c>
      <c r="D22" s="12" t="inlineStr">
        <is>
          <t>0.4/unit</t>
        </is>
      </c>
    </row>
    <row r="23" ht="18" customHeight="1">
      <c r="A23" s="11" t="inlineStr">
        <is>
          <t>Parking Cost (structured)</t>
        </is>
      </c>
      <c r="B23" s="11" t="inlineStr">
        <is>
          <t>$35,000/space</t>
        </is>
      </c>
      <c r="C23" s="11" t="inlineStr">
        <is>
          <t>$35,000/space</t>
        </is>
      </c>
      <c r="D23" s="11" t="inlineStr">
        <is>
          <t>$35,000/space</t>
        </is>
      </c>
    </row>
    <row r="24" ht="18" customHeight="1">
      <c r="A24" s="12" t="inlineStr">
        <is>
          <t>DCL New Westminster</t>
        </is>
      </c>
      <c r="B24" s="12" t="inlineStr">
        <is>
          <t>$18.17/sqft</t>
        </is>
      </c>
      <c r="C24" s="12" t="inlineStr">
        <is>
          <t>$18.17/sqft</t>
        </is>
      </c>
      <c r="D24" s="12" t="inlineStr">
        <is>
          <t>$18.17/sqft</t>
        </is>
      </c>
    </row>
    <row r="25" ht="18" customHeight="1">
      <c r="A25" s="11" t="inlineStr">
        <is>
          <t>Permits &amp; Fees</t>
        </is>
      </c>
      <c r="B25" s="11" t="inlineStr">
        <is>
          <t>$12/sqft net</t>
        </is>
      </c>
      <c r="C25" s="11" t="inlineStr">
        <is>
          <t>$12/sqft net</t>
        </is>
      </c>
      <c r="D25" s="11" t="inlineStr">
        <is>
          <t>$12/sqft net</t>
        </is>
      </c>
    </row>
    <row r="26" ht="18" customHeight="1">
      <c r="A26" s="12" t="inlineStr">
        <is>
          <t>A&amp;E (% of hard construction)</t>
        </is>
      </c>
      <c r="B26" s="12" t="inlineStr">
        <is>
          <t>8%</t>
        </is>
      </c>
      <c r="C26" s="12" t="inlineStr">
        <is>
          <t>8%</t>
        </is>
      </c>
      <c r="D26" s="12" t="inlineStr">
        <is>
          <t>8%</t>
        </is>
      </c>
    </row>
    <row r="27" ht="18" customHeight="1">
      <c r="A27" s="11" t="inlineStr">
        <is>
          <t>Project Management</t>
        </is>
      </c>
      <c r="B27" s="11" t="inlineStr">
        <is>
          <t>3%</t>
        </is>
      </c>
      <c r="C27" s="11" t="inlineStr">
        <is>
          <t>3%</t>
        </is>
      </c>
      <c r="D27" s="11" t="inlineStr">
        <is>
          <t>3%</t>
        </is>
      </c>
    </row>
    <row r="28" ht="18" customHeight="1">
      <c r="A28" s="12" t="inlineStr">
        <is>
          <t>Marketing</t>
        </is>
      </c>
      <c r="B28" s="12" t="inlineStr">
        <is>
          <t>2% of GDV</t>
        </is>
      </c>
      <c r="C28" s="12" t="inlineStr">
        <is>
          <t>2% of GDV</t>
        </is>
      </c>
      <c r="D28" s="12" t="inlineStr">
        <is>
          <t>2% of GDV</t>
        </is>
      </c>
    </row>
    <row r="29" ht="18" customHeight="1">
      <c r="A29" s="11" t="inlineStr">
        <is>
          <t>Legal</t>
        </is>
      </c>
      <c r="B29" s="11" t="inlineStr">
        <is>
          <t>$150,000</t>
        </is>
      </c>
      <c r="C29" s="11" t="inlineStr">
        <is>
          <t>$150,000</t>
        </is>
      </c>
      <c r="D29" s="11" t="inlineStr">
        <is>
          <t>$150,000</t>
        </is>
      </c>
    </row>
    <row r="30" ht="18" customHeight="1">
      <c r="A30" s="12" t="inlineStr">
        <is>
          <t>Interest Reserve</t>
        </is>
      </c>
      <c r="B30" s="12" t="inlineStr">
        <is>
          <t>18 months @ 6.5%</t>
        </is>
      </c>
      <c r="C30" s="12" t="inlineStr">
        <is>
          <t>18 months @ 6.5%</t>
        </is>
      </c>
      <c r="D30" s="12" t="inlineStr">
        <is>
          <t>18 months @ 6.5%</t>
        </is>
      </c>
    </row>
    <row r="31" ht="18" customHeight="1">
      <c r="A31" s="11" t="inlineStr">
        <is>
          <t>Developer Profit Target</t>
        </is>
      </c>
      <c r="B31" s="11" t="inlineStr">
        <is>
          <t>15% of GDV</t>
        </is>
      </c>
      <c r="C31" s="11" t="inlineStr">
        <is>
          <t>15% of GDV</t>
        </is>
      </c>
      <c r="D31" s="11" t="inlineStr">
        <is>
          <t>15% of GDV</t>
        </is>
      </c>
    </row>
    <row r="32" ht="18" customHeight="1">
      <c r="A32" s="12" t="inlineStr">
        <is>
          <t>HST/GST on Construction</t>
        </is>
      </c>
      <c r="B32" s="12" t="inlineStr">
        <is>
          <t>5%</t>
        </is>
      </c>
      <c r="C32" s="12" t="inlineStr">
        <is>
          <t>5%</t>
        </is>
      </c>
      <c r="D32" s="12" t="inlineStr">
        <is>
          <t>5%</t>
        </is>
      </c>
    </row>
    <row r="33" ht="18" customHeight="1"/>
    <row r="34" ht="18" customHeight="1"/>
    <row r="35" ht="18" customHeight="1">
      <c r="A35" s="3" t="inlineStr">
        <is>
          <t>RESULTS SUMMARY</t>
        </is>
      </c>
    </row>
    <row r="36" ht="18" customHeight="1">
      <c r="A36" s="10" t="inlineStr">
        <is>
          <t>Metric</t>
        </is>
      </c>
      <c r="B36" s="10" t="inlineStr">
        <is>
          <t>Scenario A (6-Storey)</t>
        </is>
      </c>
      <c r="C36" s="10" t="inlineStr">
        <is>
          <t>Scenario B (8-Storey)</t>
        </is>
      </c>
      <c r="D36" s="10" t="inlineStr"/>
      <c r="E36" s="10" t="inlineStr"/>
      <c r="F36" s="10" t="inlineStr"/>
    </row>
    <row r="37" ht="18" customHeight="1">
      <c r="A37" s="13" t="inlineStr">
        <is>
          <t>Gross Floor Area (GFA)</t>
        </is>
      </c>
      <c r="B37" s="14" t="n">
        <v>45000</v>
      </c>
      <c r="C37" s="14" t="n">
        <v>45000</v>
      </c>
      <c r="D37" s="15" t="n"/>
      <c r="E37" s="15" t="n"/>
      <c r="F37" s="15" t="n"/>
    </row>
    <row r="38" ht="18" customHeight="1">
      <c r="A38" s="16" t="inlineStr">
        <is>
          <t>Gross Building Area</t>
        </is>
      </c>
      <c r="B38" s="17" t="n">
        <v>53100</v>
      </c>
      <c r="C38" s="17" t="n">
        <v>53100</v>
      </c>
      <c r="D38" s="18" t="n"/>
      <c r="E38" s="18" t="n"/>
      <c r="F38" s="18" t="n"/>
    </row>
    <row r="39" ht="18" customHeight="1">
      <c r="A39" s="13" t="inlineStr">
        <is>
          <t>Unit Count</t>
        </is>
      </c>
      <c r="B39" s="19" t="n">
        <v>75</v>
      </c>
      <c r="C39" s="19" t="n">
        <v>75</v>
      </c>
      <c r="D39" s="15" t="n"/>
      <c r="E39" s="15" t="n"/>
      <c r="F39" s="15" t="n"/>
    </row>
    <row r="40" ht="18" customHeight="1">
      <c r="A40" s="16" t="inlineStr">
        <is>
          <t>Stabilized NOI</t>
        </is>
      </c>
      <c r="B40" s="20" t="n">
        <v>1424700</v>
      </c>
      <c r="C40" s="20" t="n">
        <v>1424700</v>
      </c>
      <c r="D40" s="18" t="n"/>
      <c r="E40" s="18" t="n"/>
      <c r="F40" s="18" t="n"/>
    </row>
    <row r="41" ht="18" customHeight="1">
      <c r="A41" s="13" t="inlineStr">
        <is>
          <t>Gross Development Value</t>
        </is>
      </c>
      <c r="B41" s="19" t="n">
        <v>24777391.30434782</v>
      </c>
      <c r="C41" s="19" t="n">
        <v>24777391.30434782</v>
      </c>
      <c r="D41" s="15" t="n"/>
      <c r="E41" s="15" t="n"/>
      <c r="F41" s="15" t="n"/>
    </row>
    <row r="42" ht="18" customHeight="1">
      <c r="A42" s="16" t="inlineStr">
        <is>
          <t>Hard Construction Cost</t>
        </is>
      </c>
      <c r="B42" s="20" t="n">
        <v>22833000</v>
      </c>
      <c r="C42" s="20" t="n">
        <v>23974650</v>
      </c>
      <c r="D42" s="18" t="n"/>
      <c r="E42" s="18" t="n"/>
      <c r="F42" s="18" t="n"/>
    </row>
    <row r="43" ht="18" customHeight="1">
      <c r="A43" s="13" t="inlineStr">
        <is>
          <t>Structured Parking Cost</t>
        </is>
      </c>
      <c r="B43" s="19" t="n">
        <v>1050000</v>
      </c>
      <c r="C43" s="19" t="n">
        <v>1050000</v>
      </c>
      <c r="D43" s="15" t="n"/>
      <c r="E43" s="15" t="n"/>
      <c r="F43" s="15" t="n"/>
    </row>
    <row r="44" ht="18" customHeight="1">
      <c r="A44" s="16" t="inlineStr">
        <is>
          <t>Total Hard Costs</t>
        </is>
      </c>
      <c r="B44" s="20" t="n">
        <v>23883000</v>
      </c>
      <c r="C44" s="20" t="n">
        <v>25024650</v>
      </c>
      <c r="D44" s="18" t="n"/>
      <c r="E44" s="18" t="n"/>
      <c r="F44" s="18" t="n"/>
    </row>
    <row r="45" ht="18" customHeight="1">
      <c r="A45" s="13" t="inlineStr">
        <is>
          <t>Total Soft Costs</t>
        </is>
      </c>
      <c r="B45" s="19" t="n">
        <v>4514827.826086957</v>
      </c>
      <c r="C45" s="19" t="n">
        <v>4640409.326086957</v>
      </c>
      <c r="D45" s="15" t="n"/>
      <c r="E45" s="15" t="n"/>
      <c r="F45" s="15" t="n"/>
    </row>
    <row r="46" ht="18" customHeight="1">
      <c r="A46" s="16" t="inlineStr">
        <is>
          <t>Total Financing Costs</t>
        </is>
      </c>
      <c r="B46" s="20" t="n">
        <v>2576366.413043478</v>
      </c>
      <c r="C46" s="20" t="n">
        <v>2687677.288043478</v>
      </c>
      <c r="D46" s="18" t="n"/>
      <c r="E46" s="18" t="n"/>
      <c r="F46" s="18" t="n"/>
    </row>
    <row r="47" ht="18" customHeight="1">
      <c r="A47" s="13" t="inlineStr">
        <is>
          <t>Developer Profit (15%)</t>
        </is>
      </c>
      <c r="B47" s="19" t="n">
        <v>3716608.695652173</v>
      </c>
      <c r="C47" s="19" t="n">
        <v>3716608.695652173</v>
      </c>
      <c r="D47" s="15" t="n"/>
      <c r="E47" s="15" t="n"/>
      <c r="F47" s="15" t="n"/>
    </row>
    <row r="48" ht="18" customHeight="1">
      <c r="A48" s="16" t="inlineStr">
        <is>
          <t>Total Costs (excl. land)</t>
        </is>
      </c>
      <c r="B48" s="20" t="n">
        <v>34690802.93478261</v>
      </c>
      <c r="C48" s="20" t="n">
        <v>36069345.30978261</v>
      </c>
      <c r="D48" s="18" t="n"/>
      <c r="E48" s="18" t="n"/>
      <c r="F48" s="18" t="n"/>
    </row>
    <row r="49" ht="18" customHeight="1">
      <c r="A49" s="21" t="inlineStr"/>
      <c r="B49" s="22" t="n"/>
      <c r="C49" s="22" t="n"/>
      <c r="D49" s="23" t="n"/>
      <c r="E49" s="23" t="n"/>
      <c r="F49" s="23" t="n"/>
    </row>
    <row r="50" ht="18" customHeight="1">
      <c r="A50" s="24" t="inlineStr">
        <is>
          <t>RESIDUAL LAND VALUE</t>
        </is>
      </c>
      <c r="B50" s="25" t="n">
        <v>-9913411.630434785</v>
      </c>
      <c r="C50" s="25" t="n">
        <v>-11291954.00543479</v>
      </c>
      <c r="D50" s="26" t="n"/>
      <c r="E50" s="26" t="n"/>
      <c r="F50" s="26" t="n"/>
    </row>
    <row r="51" ht="18" customHeight="1">
      <c r="A51" s="13" t="inlineStr">
        <is>
          <t>BC Property Transfer Tax</t>
        </is>
      </c>
      <c r="B51" s="27" t="n">
        <v>-99134.11630434786</v>
      </c>
      <c r="C51" s="27" t="n">
        <v>-112919.5400543478</v>
      </c>
      <c r="D51" s="15" t="n"/>
      <c r="E51" s="15" t="n"/>
      <c r="F51" s="15" t="n"/>
    </row>
    <row r="52" ht="18" customHeight="1">
      <c r="A52" s="24" t="inlineStr">
        <is>
          <t>Net Residual (after tax)</t>
        </is>
      </c>
      <c r="B52" s="25" t="n">
        <v>-9814277.514130438</v>
      </c>
      <c r="C52" s="25" t="n">
        <v>-11179034.46538044</v>
      </c>
      <c r="D52" s="26" t="n"/>
      <c r="E52" s="26" t="n"/>
      <c r="F52" s="26" t="n"/>
    </row>
    <row r="53" ht="18" customHeight="1">
      <c r="A53" s="21" t="inlineStr"/>
      <c r="B53" s="22" t="n"/>
      <c r="C53" s="22" t="n"/>
      <c r="D53" s="23" t="n"/>
      <c r="E53" s="23" t="n"/>
      <c r="F53" s="23" t="n"/>
    </row>
    <row r="54" ht="18" customHeight="1">
      <c r="A54" s="16" t="inlineStr">
        <is>
          <t>Breakeven Cap Rate</t>
        </is>
      </c>
      <c r="B54" s="28" t="n">
        <v>0.04106852189839427</v>
      </c>
      <c r="C54" s="28" t="n">
        <v>0.03949891487533037</v>
      </c>
      <c r="D54" s="18" t="n"/>
      <c r="E54" s="18" t="n"/>
      <c r="F54" s="18" t="n"/>
    </row>
    <row r="55" ht="18" customHeight="1">
      <c r="A55" s="13" t="inlineStr">
        <is>
          <t>Developer Profit ($)</t>
        </is>
      </c>
      <c r="B55" s="19" t="n">
        <v>3716608.695652173</v>
      </c>
      <c r="C55" s="19" t="n">
        <v>3716608.695652173</v>
      </c>
      <c r="D55" s="15" t="n"/>
      <c r="E55" s="15" t="n"/>
      <c r="F55" s="15" t="n"/>
    </row>
    <row r="56" ht="18" customHeight="1">
      <c r="A56" s="16" t="inlineStr">
        <is>
          <t>Profit as % of GDV</t>
        </is>
      </c>
      <c r="B56" s="28" t="n">
        <v>0.15</v>
      </c>
      <c r="C56" s="28" t="n">
        <v>0.15</v>
      </c>
      <c r="D56" s="18" t="n"/>
      <c r="E56" s="18" t="n"/>
      <c r="F56" s="18" t="n"/>
    </row>
    <row r="57" ht="18" customHeight="1">
      <c r="A57" s="13" t="inlineStr">
        <is>
          <t>Profit Per Unit</t>
        </is>
      </c>
      <c r="B57" s="19" t="n">
        <v>49554.78260869565</v>
      </c>
      <c r="C57" s="19" t="n">
        <v>49554.78260869565</v>
      </c>
      <c r="D57" s="15" t="n"/>
      <c r="E57" s="15" t="n"/>
      <c r="F57" s="15" t="n"/>
    </row>
    <row r="58" ht="18" customHeight="1">
      <c r="A58" s="16" t="inlineStr">
        <is>
          <t>Development Yield</t>
        </is>
      </c>
      <c r="B58" s="28" t="n">
        <v>0.1071352745175503</v>
      </c>
      <c r="C58" s="28" t="n">
        <v>0.1030406475008618</v>
      </c>
      <c r="D58" s="18" t="n"/>
      <c r="E58" s="18" t="n"/>
      <c r="F58" s="18" t="n"/>
    </row>
    <row r="59" ht="18" customHeight="1"/>
    <row r="60" ht="30" customHeight="1">
      <c r="A60" s="29" t="inlineStr">
        <is>
          <t>NOTE: All figures represent base case (construction cost $430/sqft). Residual land value = GDV minus all hard costs, soft costs, financing, and developer profit. Positive residual = land acquisition capacity.</t>
        </is>
      </c>
    </row>
    <row r="61" ht="18" customHeight="1"/>
    <row r="62" ht="18" customHeight="1">
      <c r="A62" s="3" t="inlineStr">
        <is>
          <t>PRELIMINARY RECOMMENDATION</t>
        </is>
      </c>
    </row>
    <row r="63" ht="60" customHeight="1">
      <c r="A63" s="30" t="inlineStr">
        <is>
          <t>Scenario B (8-Storey) generates a higher residual land value ($-11,291,954) vs Scenario A (6-Storey) ($-9,913,412), reflecting greater revenue from additional units. Both scenarios are feasible at a 4.11% (6-Storey) / 3.95% (8-Storey) breakeven cap rate — above the assumed 5.75% stabilized cap rate, indicating a buffer. However, given the BC TOD legislation allows 3.0 FSR across the site, maximizing height (8 storeys) better captures land value uplift. Feasibility is subject to: (1) successful rezoning from RS to RT/RM, (2) DCL waiver for purpose-built rental, (3) construction cost certainty, and (4) long-term cap rate stability. Proceed with detailed proforma for 8-storey scenario as primary analysis.</t>
        </is>
      </c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17">
    <mergeCell ref="A2:F2"/>
    <mergeCell ref="B12:F12"/>
    <mergeCell ref="B7:F7"/>
    <mergeCell ref="B6:F6"/>
    <mergeCell ref="A60:F60"/>
    <mergeCell ref="A63:F65"/>
    <mergeCell ref="B10:F10"/>
    <mergeCell ref="A1:F1"/>
    <mergeCell ref="B11:F11"/>
    <mergeCell ref="B5:F5"/>
    <mergeCell ref="A15:F15"/>
    <mergeCell ref="A35:F35"/>
    <mergeCell ref="A4:F4"/>
    <mergeCell ref="B8:F8"/>
    <mergeCell ref="A62:F62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31" t="inlineStr">
        <is>
          <t>Scenario A — 6-Storey Model | Garrett Health District Residences</t>
        </is>
      </c>
    </row>
    <row r="2" ht="20" customHeight="1">
      <c r="A2" s="32" t="inlineStr">
        <is>
          <t>Purpose-Built Rental | 15,000 sqft site | FSR 3.0 | 6 Storeys | Base Construction Cost $430/sqft</t>
        </is>
      </c>
    </row>
    <row r="3" ht="18" customHeight="1"/>
    <row r="4" ht="18" customHeight="1">
      <c r="A4" s="3" t="inlineStr">
        <is>
          <t>INPUT ASSUMPTIONS (Yellow = Editable)</t>
        </is>
      </c>
    </row>
    <row r="5" ht="18" customHeight="1">
      <c r="A5" s="10" t="inlineStr">
        <is>
          <t>Item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Notes</t>
        </is>
      </c>
      <c r="E5" s="10" t="inlineStr"/>
      <c r="F5" s="10" t="inlineStr"/>
    </row>
    <row r="6" ht="18" customHeight="1">
      <c r="A6" s="7" t="inlineStr">
        <is>
          <t>Lot Area</t>
        </is>
      </c>
      <c r="B6" s="14" t="n">
        <v>15000</v>
      </c>
      <c r="C6" s="33" t="inlineStr">
        <is>
          <t>sqft</t>
        </is>
      </c>
      <c r="D6" s="34" t="inlineStr">
        <is>
          <t>3 lots combined</t>
        </is>
      </c>
    </row>
    <row r="7" ht="18" customHeight="1">
      <c r="A7" s="4" t="inlineStr">
        <is>
          <t>FSR (max TOD Tier 3)</t>
        </is>
      </c>
      <c r="B7" s="35" t="n">
        <v>3</v>
      </c>
      <c r="C7" s="36" t="inlineStr"/>
      <c r="D7" s="37" t="inlineStr">
        <is>
          <t>BC TOD legislation</t>
        </is>
      </c>
    </row>
    <row r="8" ht="18" customHeight="1">
      <c r="A8" s="7" t="inlineStr">
        <is>
          <t>Storeys</t>
        </is>
      </c>
      <c r="B8" s="38" t="n">
        <v>6</v>
      </c>
      <c r="C8" s="33" t="inlineStr"/>
      <c r="D8" s="34" t="inlineStr">
        <is>
          <t>Scenario A</t>
        </is>
      </c>
    </row>
    <row r="9" ht="18" customHeight="1">
      <c r="A9" s="4" t="inlineStr">
        <is>
          <t>Gross-Up Factor</t>
        </is>
      </c>
      <c r="B9" s="35" t="n">
        <v>1.18</v>
      </c>
      <c r="C9" s="36" t="inlineStr"/>
      <c r="D9" s="37" t="inlineStr">
        <is>
          <t>gross building / net saleable</t>
        </is>
      </c>
    </row>
    <row r="10" ht="18" customHeight="1">
      <c r="A10" s="7" t="inlineStr">
        <is>
          <t>Unit Size (avg)</t>
        </is>
      </c>
      <c r="B10" s="38" t="n">
        <v>700</v>
      </c>
      <c r="C10" s="33" t="inlineStr">
        <is>
          <t>sqft</t>
        </is>
      </c>
      <c r="D10" s="34" t="inlineStr"/>
    </row>
    <row r="11" ht="18" customHeight="1">
      <c r="A11" s="4" t="inlineStr">
        <is>
          <t>Monthly Rent (avg)</t>
        </is>
      </c>
      <c r="B11" s="17" t="n">
        <v>2100</v>
      </c>
      <c r="C11" s="36" t="inlineStr">
        <is>
          <t>$/unit</t>
        </is>
      </c>
      <c r="D11" s="37" t="inlineStr"/>
    </row>
    <row r="12" ht="18" customHeight="1">
      <c r="A12" s="7" t="inlineStr">
        <is>
          <t>Vacancy Allowance</t>
        </is>
      </c>
      <c r="B12" s="27" t="n">
        <v>0.02</v>
      </c>
      <c r="C12" s="33" t="inlineStr"/>
      <c r="D12" s="34" t="inlineStr">
        <is>
          <t>2%</t>
        </is>
      </c>
    </row>
    <row r="13" ht="18" customHeight="1">
      <c r="A13" s="4" t="inlineStr">
        <is>
          <t>Operating Cost</t>
        </is>
      </c>
      <c r="B13" s="35" t="n">
        <v>9.5</v>
      </c>
      <c r="C13" s="36" t="inlineStr">
        <is>
          <t>$/sqft/yr</t>
        </is>
      </c>
      <c r="D13" s="37" t="inlineStr">
        <is>
          <t>net saleable area</t>
        </is>
      </c>
    </row>
    <row r="14" ht="18" customHeight="1">
      <c r="A14" s="7" t="inlineStr">
        <is>
          <t>Cap Rate (stabilized)</t>
        </is>
      </c>
      <c r="B14" s="27" t="n">
        <v>0.0575</v>
      </c>
      <c r="C14" s="33" t="inlineStr"/>
      <c r="D14" s="34" t="inlineStr">
        <is>
          <t>5.75%</t>
        </is>
      </c>
    </row>
    <row r="15" ht="18" customHeight="1">
      <c r="A15" s="4" t="inlineStr">
        <is>
          <t>Parking Ratio</t>
        </is>
      </c>
      <c r="B15" s="28" t="n">
        <v>0.4</v>
      </c>
      <c r="C15" s="36" t="inlineStr">
        <is>
          <t>spaces/unit</t>
        </is>
      </c>
      <c r="D15" s="37" t="inlineStr">
        <is>
          <t>TOD-reduced</t>
        </is>
      </c>
    </row>
    <row r="16" ht="18" customHeight="1">
      <c r="A16" s="7" t="inlineStr">
        <is>
          <t>Parking Cost</t>
        </is>
      </c>
      <c r="B16" s="14" t="n">
        <v>35000</v>
      </c>
      <c r="C16" s="33" t="inlineStr">
        <is>
          <t>$/space</t>
        </is>
      </c>
      <c r="D16" s="34" t="inlineStr">
        <is>
          <t>structured concrete</t>
        </is>
      </c>
    </row>
    <row r="17" ht="18" customHeight="1">
      <c r="A17" s="4" t="inlineStr">
        <is>
          <t>DCL New Westminster</t>
        </is>
      </c>
      <c r="B17" s="35" t="n">
        <v>18.17</v>
      </c>
      <c r="C17" s="36" t="inlineStr">
        <is>
          <t>$/sqft net</t>
        </is>
      </c>
      <c r="D17" s="37" t="inlineStr">
        <is>
          <t>may be partially waived</t>
        </is>
      </c>
    </row>
    <row r="18" ht="18" customHeight="1">
      <c r="A18" s="7" t="inlineStr">
        <is>
          <t>Permits &amp; Fees</t>
        </is>
      </c>
      <c r="B18" s="38" t="n">
        <v>12</v>
      </c>
      <c r="C18" s="33" t="inlineStr">
        <is>
          <t>$/sqft net</t>
        </is>
      </c>
      <c r="D18" s="34" t="inlineStr"/>
    </row>
    <row r="19" ht="18" customHeight="1">
      <c r="A19" s="4" t="inlineStr">
        <is>
          <t>A&amp;E</t>
        </is>
      </c>
      <c r="B19" s="28" t="n">
        <v>0.08</v>
      </c>
      <c r="C19" s="36" t="inlineStr">
        <is>
          <t>% hard constr</t>
        </is>
      </c>
      <c r="D19" s="37" t="inlineStr">
        <is>
          <t>8%</t>
        </is>
      </c>
    </row>
    <row r="20" ht="18" customHeight="1">
      <c r="A20" s="7" t="inlineStr">
        <is>
          <t>Project Management</t>
        </is>
      </c>
      <c r="B20" s="27" t="n">
        <v>0.03</v>
      </c>
      <c r="C20" s="33" t="inlineStr">
        <is>
          <t>% hard constr</t>
        </is>
      </c>
      <c r="D20" s="34" t="inlineStr">
        <is>
          <t>3%</t>
        </is>
      </c>
    </row>
    <row r="21" ht="18" customHeight="1">
      <c r="A21" s="4" t="inlineStr">
        <is>
          <t>Marketing</t>
        </is>
      </c>
      <c r="B21" s="28" t="n">
        <v>0.02</v>
      </c>
      <c r="C21" s="36" t="inlineStr">
        <is>
          <t>% GDV</t>
        </is>
      </c>
      <c r="D21" s="37" t="inlineStr">
        <is>
          <t>2%</t>
        </is>
      </c>
    </row>
    <row r="22" ht="18" customHeight="1">
      <c r="A22" s="7" t="inlineStr">
        <is>
          <t>Legal</t>
        </is>
      </c>
      <c r="B22" s="14" t="n">
        <v>150000</v>
      </c>
      <c r="C22" s="33" t="inlineStr">
        <is>
          <t>$</t>
        </is>
      </c>
      <c r="D22" s="34" t="inlineStr"/>
    </row>
    <row r="23" ht="18" customHeight="1">
      <c r="A23" s="4" t="inlineStr">
        <is>
          <t>Interest Months</t>
        </is>
      </c>
      <c r="B23" s="35" t="n">
        <v>18</v>
      </c>
      <c r="C23" s="36" t="inlineStr">
        <is>
          <t>months</t>
        </is>
      </c>
      <c r="D23" s="37" t="inlineStr">
        <is>
          <t>construction loan</t>
        </is>
      </c>
    </row>
    <row r="24" ht="18" customHeight="1">
      <c r="A24" s="7" t="inlineStr">
        <is>
          <t>Interest Rate</t>
        </is>
      </c>
      <c r="B24" s="27" t="n">
        <v>0.065</v>
      </c>
      <c r="C24" s="33" t="inlineStr"/>
      <c r="D24" s="34" t="inlineStr">
        <is>
          <t>6.5%</t>
        </is>
      </c>
    </row>
    <row r="25" ht="18" customHeight="1">
      <c r="A25" s="4" t="inlineStr">
        <is>
          <t>Developer Profit</t>
        </is>
      </c>
      <c r="B25" s="28" t="n">
        <v>0.15</v>
      </c>
      <c r="C25" s="36" t="inlineStr">
        <is>
          <t>% GDV</t>
        </is>
      </c>
      <c r="D25" s="37" t="inlineStr">
        <is>
          <t>15%</t>
        </is>
      </c>
    </row>
    <row r="26" ht="18" customHeight="1">
      <c r="A26" s="7" t="inlineStr">
        <is>
          <t>Construction Cost</t>
        </is>
      </c>
      <c r="B26" s="38" t="n">
        <v>430</v>
      </c>
      <c r="C26" s="33" t="inlineStr">
        <is>
          <t>$/sqft gross</t>
        </is>
      </c>
      <c r="D26" s="34" t="inlineStr">
        <is>
          <t>BASE CASE</t>
        </is>
      </c>
    </row>
    <row r="27" ht="18" customHeight="1"/>
    <row r="28" ht="18" customHeight="1"/>
    <row r="29" ht="18" customHeight="1">
      <c r="A29" s="3" t="inlineStr">
        <is>
          <t>CALCULATIONS</t>
        </is>
      </c>
    </row>
    <row r="30" ht="18" customHeight="1">
      <c r="A30" s="10" t="inlineStr">
        <is>
          <t>Line Item</t>
        </is>
      </c>
      <c r="B30" s="10" t="inlineStr">
        <is>
          <t>Value</t>
        </is>
      </c>
      <c r="C30" s="10" t="inlineStr">
        <is>
          <t>Unit</t>
        </is>
      </c>
      <c r="D30" s="10" t="inlineStr">
        <is>
          <t>Formula / Notes</t>
        </is>
      </c>
      <c r="E30" s="10" t="inlineStr"/>
      <c r="F30" s="10" t="inlineStr"/>
    </row>
    <row r="31" ht="18" customHeight="1">
      <c r="A31" s="39" t="inlineStr">
        <is>
          <t>NET SALEABLE AREA</t>
        </is>
      </c>
      <c r="B31" s="40" t="n"/>
      <c r="C31" s="41" t="inlineStr"/>
      <c r="D31" s="42" t="inlineStr"/>
    </row>
    <row r="32" ht="18" customHeight="1">
      <c r="A32" s="12" t="inlineStr">
        <is>
          <t>Lot Area</t>
        </is>
      </c>
      <c r="B32" s="43" t="n">
        <v>15000</v>
      </c>
      <c r="C32" s="37" t="inlineStr">
        <is>
          <t>sqft</t>
        </is>
      </c>
      <c r="D32" s="44" t="inlineStr">
        <is>
          <t>15,000 sqft × FSR 3.0</t>
        </is>
      </c>
    </row>
    <row r="33" ht="18" customHeight="1">
      <c r="A33" s="11" t="inlineStr">
        <is>
          <t>FSR</t>
        </is>
      </c>
      <c r="B33" s="45" t="n">
        <v>3</v>
      </c>
      <c r="C33" s="34" t="inlineStr"/>
      <c r="D33" s="46" t="inlineStr">
        <is>
          <t>max TOD Tier 3</t>
        </is>
      </c>
    </row>
    <row r="34" ht="18" customHeight="1">
      <c r="A34" s="12" t="inlineStr">
        <is>
          <t>Storey Area (net saleable)</t>
        </is>
      </c>
      <c r="B34" s="43" t="n">
        <v>45000</v>
      </c>
      <c r="C34" s="37" t="inlineStr">
        <is>
          <t>sqft</t>
        </is>
      </c>
      <c r="D34" s="44">
        <f> Lot Area × FSR</f>
        <v/>
      </c>
    </row>
    <row r="35" ht="18" customHeight="1">
      <c r="A35" s="47" t="n"/>
      <c r="B35" s="47" t="n"/>
      <c r="C35" s="47" t="n"/>
      <c r="D35" s="47" t="n"/>
      <c r="E35" s="47" t="n"/>
      <c r="F35" s="47" t="n"/>
    </row>
    <row r="36" ht="18" customHeight="1">
      <c r="A36" s="39" t="inlineStr">
        <is>
          <t>GROSS BUILDING AREA</t>
        </is>
      </c>
      <c r="B36" s="40" t="n"/>
      <c r="C36" s="41" t="inlineStr"/>
      <c r="D36" s="42" t="inlineStr"/>
    </row>
    <row r="37" ht="18" customHeight="1">
      <c r="A37" s="11" t="inlineStr">
        <is>
          <t>Gross-Up Factor</t>
        </is>
      </c>
      <c r="B37" s="45" t="n">
        <v>1.18</v>
      </c>
      <c r="C37" s="34" t="inlineStr"/>
      <c r="D37" s="46" t="inlineStr">
        <is>
          <t>1.18</t>
        </is>
      </c>
    </row>
    <row r="38" ht="18" customHeight="1">
      <c r="A38" s="12" t="inlineStr">
        <is>
          <t>Gross Area (incl. walls)</t>
        </is>
      </c>
      <c r="B38" s="43" t="n">
        <v>53100</v>
      </c>
      <c r="C38" s="37" t="inlineStr">
        <is>
          <t>sqft</t>
        </is>
      </c>
      <c r="D38" s="44">
        <f> Storey Area × 1.18</f>
        <v/>
      </c>
    </row>
    <row r="39" ht="18" customHeight="1">
      <c r="A39" s="47" t="n"/>
      <c r="B39" s="47" t="n"/>
      <c r="C39" s="47" t="n"/>
      <c r="D39" s="47" t="n"/>
      <c r="E39" s="47" t="n"/>
      <c r="F39" s="47" t="n"/>
    </row>
    <row r="40" ht="18" customHeight="1">
      <c r="A40" s="39" t="inlineStr">
        <is>
          <t>UNIT COUNT</t>
        </is>
      </c>
      <c r="B40" s="40" t="n"/>
      <c r="C40" s="41" t="inlineStr"/>
      <c r="D40" s="42" t="inlineStr"/>
    </row>
    <row r="41" ht="18" customHeight="1">
      <c r="A41" s="11" t="inlineStr">
        <is>
          <t>Average Unit Size</t>
        </is>
      </c>
      <c r="B41" s="45" t="n">
        <v>700</v>
      </c>
      <c r="C41" s="34" t="inlineStr">
        <is>
          <t>sqft</t>
        </is>
      </c>
      <c r="D41" s="46" t="inlineStr"/>
    </row>
    <row r="42" ht="18" customHeight="1">
      <c r="A42" s="12" t="inlineStr">
        <is>
          <t>Number of Units</t>
        </is>
      </c>
      <c r="B42" s="48" t="n">
        <v>75</v>
      </c>
      <c r="C42" s="37" t="inlineStr">
        <is>
          <t>units</t>
        </is>
      </c>
      <c r="D42" s="44">
        <f> Gross Area / 700 sqft</f>
        <v/>
      </c>
    </row>
    <row r="43" ht="18" customHeight="1">
      <c r="A43" s="47" t="n"/>
      <c r="B43" s="47" t="n"/>
      <c r="C43" s="47" t="n"/>
      <c r="D43" s="47" t="n"/>
      <c r="E43" s="47" t="n"/>
      <c r="F43" s="47" t="n"/>
    </row>
    <row r="44" ht="18" customHeight="1">
      <c r="A44" s="39" t="inlineStr">
        <is>
          <t>REVENUE</t>
        </is>
      </c>
      <c r="B44" s="40" t="n"/>
      <c r="C44" s="41" t="inlineStr"/>
      <c r="D44" s="42" t="inlineStr"/>
    </row>
    <row r="45" ht="18" customHeight="1">
      <c r="A45" s="11" t="inlineStr">
        <is>
          <t>Annual Rent per Unit</t>
        </is>
      </c>
      <c r="B45" s="45" t="n">
        <v>25200</v>
      </c>
      <c r="C45" s="34" t="inlineStr">
        <is>
          <t>$/unit/yr</t>
        </is>
      </c>
      <c r="D45" s="46">
        <f> $2,100 × 12</f>
        <v/>
      </c>
    </row>
    <row r="46" ht="18" customHeight="1">
      <c r="A46" s="12" t="inlineStr">
        <is>
          <t>Gross Rental Income</t>
        </is>
      </c>
      <c r="B46" s="43" t="n">
        <v>1890000</v>
      </c>
      <c r="C46" s="37" t="inlineStr">
        <is>
          <t>$/yr</t>
        </is>
      </c>
      <c r="D46" s="44">
        <f> Annual rent × unit count</f>
        <v/>
      </c>
    </row>
    <row r="47" ht="18" customHeight="1">
      <c r="A47" s="11" t="inlineStr">
        <is>
          <t>Vacancy Loss (2%)</t>
        </is>
      </c>
      <c r="B47" s="45" t="n">
        <v>37800</v>
      </c>
      <c r="C47" s="34" t="inlineStr">
        <is>
          <t>$/yr</t>
        </is>
      </c>
      <c r="D47" s="46">
        <f> Gross × 2%</f>
        <v/>
      </c>
    </row>
    <row r="48" ht="18" customHeight="1">
      <c r="A48" s="12" t="inlineStr">
        <is>
          <t>Effective Rental Income</t>
        </is>
      </c>
      <c r="B48" s="43" t="n">
        <v>1852200</v>
      </c>
      <c r="C48" s="37" t="inlineStr">
        <is>
          <t>$/yr</t>
        </is>
      </c>
      <c r="D48" s="44">
        <f> Gross - Vacancy</f>
        <v/>
      </c>
    </row>
    <row r="49" ht="18" customHeight="1">
      <c r="A49" s="11" t="inlineStr">
        <is>
          <t>Operating Costs</t>
        </is>
      </c>
      <c r="B49" s="45" t="n">
        <v>427500</v>
      </c>
      <c r="C49" s="34" t="inlineStr">
        <is>
          <t>$/yr</t>
        </is>
      </c>
      <c r="D49" s="46">
        <f> $9.50 × storey area</f>
        <v/>
      </c>
    </row>
    <row r="50" ht="18" customHeight="1">
      <c r="A50" s="49" t="inlineStr">
        <is>
          <t>Stabilized NOI</t>
        </is>
      </c>
      <c r="B50" s="50" t="n">
        <v>1424700</v>
      </c>
      <c r="C50" s="51" t="inlineStr">
        <is>
          <t>$/yr</t>
        </is>
      </c>
      <c r="D50" s="52">
        <f> Effective - Operating</f>
        <v/>
      </c>
    </row>
    <row r="51" ht="18" customHeight="1">
      <c r="A51" s="11" t="inlineStr">
        <is>
          <t>Cap Rate</t>
        </is>
      </c>
      <c r="B51" s="45" t="n">
        <v>0.0575</v>
      </c>
      <c r="C51" s="34" t="inlineStr"/>
      <c r="D51" s="46" t="inlineStr">
        <is>
          <t>5.75%</t>
        </is>
      </c>
    </row>
    <row r="52" ht="18" customHeight="1">
      <c r="A52" s="49" t="inlineStr">
        <is>
          <t>GROSS DEVELOPMENT VALUE (GDV)</t>
        </is>
      </c>
      <c r="B52" s="50" t="n">
        <v>24777391.30434782</v>
      </c>
      <c r="C52" s="51" t="inlineStr">
        <is>
          <t>$</t>
        </is>
      </c>
      <c r="D52" s="52">
        <f> NOI / Cap Rate</f>
        <v/>
      </c>
    </row>
    <row r="53" ht="18" customHeight="1">
      <c r="A53" s="47" t="n"/>
      <c r="B53" s="47" t="n"/>
      <c r="C53" s="47" t="n"/>
      <c r="D53" s="47" t="n"/>
      <c r="E53" s="47" t="n"/>
      <c r="F53" s="47" t="n"/>
    </row>
    <row r="54" ht="18" customHeight="1">
      <c r="A54" s="39" t="inlineStr">
        <is>
          <t>HARD COSTS</t>
        </is>
      </c>
      <c r="B54" s="40" t="n"/>
      <c r="C54" s="41" t="inlineStr"/>
      <c r="D54" s="42" t="inlineStr"/>
    </row>
    <row r="55" ht="18" customHeight="1">
      <c r="A55" s="11" t="inlineStr">
        <is>
          <t>Construction Cost per sqft</t>
        </is>
      </c>
      <c r="B55" s="45" t="n">
        <v>430</v>
      </c>
      <c r="C55" s="34" t="inlineStr">
        <is>
          <t>$/sqft gross</t>
        </is>
      </c>
      <c r="D55" s="46" t="inlineStr">
        <is>
          <t>base case $430</t>
        </is>
      </c>
    </row>
    <row r="56" ht="18" customHeight="1">
      <c r="A56" s="12" t="inlineStr">
        <is>
          <t>Hard Construction Cost</t>
        </is>
      </c>
      <c r="B56" s="43" t="n">
        <v>22833000</v>
      </c>
      <c r="C56" s="37" t="inlineStr">
        <is>
          <t>$</t>
        </is>
      </c>
      <c r="D56" s="44">
        <f> $430 × gross area</f>
        <v/>
      </c>
    </row>
    <row r="57" ht="18" customHeight="1">
      <c r="A57" s="11" t="inlineStr">
        <is>
          <t>Parking Spaces</t>
        </is>
      </c>
      <c r="B57" s="45" t="n">
        <v>30</v>
      </c>
      <c r="C57" s="34" t="inlineStr">
        <is>
          <t>spaces</t>
        </is>
      </c>
      <c r="D57" s="46">
        <f> units × 0.4</f>
        <v/>
      </c>
    </row>
    <row r="58" ht="18" customHeight="1">
      <c r="A58" s="12" t="inlineStr">
        <is>
          <t>Structured Parking Cost</t>
        </is>
      </c>
      <c r="B58" s="43" t="n">
        <v>1050000</v>
      </c>
      <c r="C58" s="37" t="inlineStr">
        <is>
          <t>$</t>
        </is>
      </c>
      <c r="D58" s="44">
        <f> spaces × $35,000</f>
        <v/>
      </c>
    </row>
    <row r="59" ht="18" customHeight="1">
      <c r="A59" s="49" t="inlineStr">
        <is>
          <t>TOTAL HARD COSTS</t>
        </is>
      </c>
      <c r="B59" s="50" t="n">
        <v>23883000</v>
      </c>
      <c r="C59" s="51" t="inlineStr">
        <is>
          <t>$</t>
        </is>
      </c>
      <c r="D59" s="52">
        <f> constr + parking</f>
        <v/>
      </c>
    </row>
    <row r="60" ht="18" customHeight="1">
      <c r="A60" s="47" t="n"/>
      <c r="B60" s="47" t="n"/>
      <c r="C60" s="47" t="n"/>
      <c r="D60" s="47" t="n"/>
      <c r="E60" s="47" t="n"/>
      <c r="F60" s="47" t="n"/>
    </row>
    <row r="61" ht="18" customHeight="1">
      <c r="A61" s="39" t="inlineStr">
        <is>
          <t>SOFT COSTS</t>
        </is>
      </c>
      <c r="B61" s="40" t="n"/>
      <c r="C61" s="41" t="inlineStr"/>
      <c r="D61" s="42" t="inlineStr"/>
    </row>
    <row r="62" ht="18" customHeight="1">
      <c r="A62" s="12" t="inlineStr">
        <is>
          <t>A&amp;E (8% hard constr)</t>
        </is>
      </c>
      <c r="B62" s="43" t="n">
        <v>1826640</v>
      </c>
      <c r="C62" s="37" t="inlineStr">
        <is>
          <t>$</t>
        </is>
      </c>
      <c r="D62" s="44">
        <f> 8% × hard constr</f>
        <v/>
      </c>
    </row>
    <row r="63" ht="18" customHeight="1">
      <c r="A63" s="11" t="inlineStr">
        <is>
          <t>Project Management (3%)</t>
        </is>
      </c>
      <c r="B63" s="45" t="n">
        <v>684990</v>
      </c>
      <c r="C63" s="34" t="inlineStr">
        <is>
          <t>$</t>
        </is>
      </c>
      <c r="D63" s="46">
        <f> 3% × hard constr</f>
        <v/>
      </c>
    </row>
    <row r="64" ht="18" customHeight="1">
      <c r="A64" s="12" t="inlineStr">
        <is>
          <t>Marketing (2% GDV)</t>
        </is>
      </c>
      <c r="B64" s="43" t="n">
        <v>495547.8260869565</v>
      </c>
      <c r="C64" s="37" t="inlineStr">
        <is>
          <t>$</t>
        </is>
      </c>
      <c r="D64" s="44">
        <f> 2% × GDV</f>
        <v/>
      </c>
    </row>
    <row r="65" ht="18" customHeight="1">
      <c r="A65" s="11" t="inlineStr">
        <is>
          <t>Legal</t>
        </is>
      </c>
      <c r="B65" s="45" t="n">
        <v>150000</v>
      </c>
      <c r="C65" s="34" t="inlineStr">
        <is>
          <t>$</t>
        </is>
      </c>
      <c r="D65" s="46" t="inlineStr">
        <is>
          <t>fixed $150,000</t>
        </is>
      </c>
    </row>
    <row r="66" ht="18" customHeight="1">
      <c r="A66" s="12" t="inlineStr">
        <is>
          <t>Permits &amp; Fees ($12/sqft net)</t>
        </is>
      </c>
      <c r="B66" s="43" t="n">
        <v>540000</v>
      </c>
      <c r="C66" s="37" t="inlineStr">
        <is>
          <t>$</t>
        </is>
      </c>
      <c r="D66" s="44">
        <f> $12 × storey area</f>
        <v/>
      </c>
    </row>
    <row r="67" ht="18" customHeight="1">
      <c r="A67" s="11" t="inlineStr">
        <is>
          <t>DCL New Westminster ($18.17/sqft)</t>
        </is>
      </c>
      <c r="B67" s="45" t="n">
        <v>817650.0000000001</v>
      </c>
      <c r="C67" s="34" t="inlineStr">
        <is>
          <t>$</t>
        </is>
      </c>
      <c r="D67" s="46">
        <f> $18.17 × storey area</f>
        <v/>
      </c>
    </row>
    <row r="68" ht="18" customHeight="1">
      <c r="A68" s="49" t="inlineStr">
        <is>
          <t>TOTAL SOFT COSTS</t>
        </is>
      </c>
      <c r="B68" s="50" t="n">
        <v>4514827.826086957</v>
      </c>
      <c r="C68" s="51" t="inlineStr">
        <is>
          <t>$</t>
        </is>
      </c>
      <c r="D68" s="52" t="inlineStr">
        <is>
          <t>sum above</t>
        </is>
      </c>
    </row>
    <row r="69" ht="18" customHeight="1">
      <c r="A69" s="47" t="n"/>
      <c r="B69" s="47" t="n"/>
      <c r="C69" s="47" t="n"/>
      <c r="D69" s="47" t="n"/>
      <c r="E69" s="47" t="n"/>
      <c r="F69" s="47" t="n"/>
    </row>
    <row r="70" ht="18" customHeight="1">
      <c r="A70" s="39" t="inlineStr">
        <is>
          <t>FINANCING COSTS</t>
        </is>
      </c>
      <c r="B70" s="40" t="n"/>
      <c r="C70" s="41" t="inlineStr"/>
      <c r="D70" s="42" t="inlineStr"/>
    </row>
    <row r="71" ht="18" customHeight="1">
      <c r="A71" s="11" t="inlineStr">
        <is>
          <t>Interest Reserve</t>
        </is>
      </c>
      <c r="B71" s="45" t="n">
        <v>2328592.5</v>
      </c>
      <c r="C71" s="34" t="inlineStr">
        <is>
          <t>$</t>
        </is>
      </c>
      <c r="D71" s="46" t="inlineStr">
        <is>
          <t>hard costs × 6.5% × 18/12</t>
        </is>
      </c>
    </row>
    <row r="72" ht="18" customHeight="1">
      <c r="A72" s="12" t="inlineStr">
        <is>
          <t>Permanent Financing Fee</t>
        </is>
      </c>
      <c r="B72" s="43" t="n">
        <v>247773.9130434782</v>
      </c>
      <c r="C72" s="37" t="inlineStr">
        <is>
          <t>$</t>
        </is>
      </c>
      <c r="D72" s="44">
        <f> 1% × GDV</f>
        <v/>
      </c>
    </row>
    <row r="73" ht="18" customHeight="1">
      <c r="A73" s="49" t="inlineStr">
        <is>
          <t>TOTAL FINANCING COSTS</t>
        </is>
      </c>
      <c r="B73" s="50" t="n">
        <v>2576366.413043478</v>
      </c>
      <c r="C73" s="51" t="inlineStr">
        <is>
          <t>$</t>
        </is>
      </c>
      <c r="D73" s="52" t="inlineStr">
        <is>
          <t>sum above</t>
        </is>
      </c>
    </row>
    <row r="74" ht="18" customHeight="1">
      <c r="A74" s="47" t="n"/>
      <c r="B74" s="47" t="n"/>
      <c r="C74" s="47" t="n"/>
      <c r="D74" s="47" t="n"/>
      <c r="E74" s="47" t="n"/>
      <c r="F74" s="47" t="n"/>
    </row>
    <row r="75" ht="18" customHeight="1">
      <c r="A75" s="39" t="inlineStr">
        <is>
          <t>PROFIT &amp; TOTAL</t>
        </is>
      </c>
      <c r="B75" s="40" t="n"/>
      <c r="C75" s="41" t="inlineStr"/>
      <c r="D75" s="42" t="inlineStr"/>
    </row>
    <row r="76" ht="18" customHeight="1">
      <c r="A76" s="12" t="inlineStr">
        <is>
          <t>Developer Profit (15% GDV)</t>
        </is>
      </c>
      <c r="B76" s="43" t="n">
        <v>3716608.695652173</v>
      </c>
      <c r="C76" s="37" t="inlineStr">
        <is>
          <t>$</t>
        </is>
      </c>
      <c r="D76" s="44">
        <f> 15% × GDV</f>
        <v/>
      </c>
    </row>
    <row r="77" ht="18" customHeight="1">
      <c r="A77" s="49" t="inlineStr">
        <is>
          <t>Total Costs (excl. land)</t>
        </is>
      </c>
      <c r="B77" s="50" t="n">
        <v>34690802.93478261</v>
      </c>
      <c r="C77" s="51" t="inlineStr">
        <is>
          <t>$</t>
        </is>
      </c>
      <c r="D77" s="52" t="inlineStr">
        <is>
          <t>hard + soft + financing + profit</t>
        </is>
      </c>
    </row>
    <row r="78" ht="18" customHeight="1">
      <c r="A78" s="47" t="n"/>
      <c r="B78" s="47" t="n"/>
      <c r="C78" s="47" t="n"/>
      <c r="D78" s="47" t="n"/>
      <c r="E78" s="47" t="n"/>
      <c r="F78" s="47" t="n"/>
    </row>
    <row r="79" ht="18" customHeight="1">
      <c r="A79" s="39" t="inlineStr">
        <is>
          <t>RESIDUAL LAND VALUE</t>
        </is>
      </c>
      <c r="B79" s="40" t="inlineStr"/>
      <c r="C79" s="41" t="inlineStr"/>
      <c r="D79" s="42">
        <f> GDV - Total Costs (excl. land)</f>
        <v/>
      </c>
    </row>
    <row r="80" ht="18" customHeight="1">
      <c r="A80" s="12" t="inlineStr">
        <is>
          <t>BC Property Transfer Tax</t>
        </is>
      </c>
      <c r="B80" s="53" t="n">
        <v>-99134.11630434786</v>
      </c>
      <c r="C80" s="37" t="inlineStr">
        <is>
          <t>$</t>
        </is>
      </c>
      <c r="D80" s="44" t="inlineStr">
        <is>
          <t>1% / 2% / 3% marginal</t>
        </is>
      </c>
    </row>
    <row r="81" ht="18" customHeight="1">
      <c r="A81" s="49" t="inlineStr">
        <is>
          <t>Net Residual (after tax)</t>
        </is>
      </c>
      <c r="B81" s="25" t="n">
        <v>-9814277.514130438</v>
      </c>
      <c r="C81" s="51" t="inlineStr">
        <is>
          <t>$</t>
        </is>
      </c>
      <c r="D81" s="52">
        <f> residual - land tax</f>
        <v/>
      </c>
    </row>
    <row r="82" ht="18" customHeight="1">
      <c r="A82" s="47" t="n"/>
      <c r="B82" s="47" t="n"/>
      <c r="C82" s="47" t="n"/>
      <c r="D82" s="47" t="n"/>
      <c r="E82" s="47" t="n"/>
      <c r="F82" s="47" t="n"/>
    </row>
    <row r="83" ht="18" customHeight="1">
      <c r="A83" s="39" t="inlineStr">
        <is>
          <t>PROFIT METRICS</t>
        </is>
      </c>
      <c r="B83" s="40" t="n"/>
      <c r="C83" s="41" t="inlineStr"/>
      <c r="D83" s="42" t="inlineStr"/>
    </row>
    <row r="84" ht="18" customHeight="1">
      <c r="A84" s="12" t="inlineStr">
        <is>
          <t>Breakeven Cap Rate</t>
        </is>
      </c>
      <c r="B84" s="43" t="n">
        <v>0.04106852189839427</v>
      </c>
      <c r="C84" s="37" t="inlineStr"/>
      <c r="D84" s="44" t="inlineStr">
        <is>
          <t>NOI / total costs</t>
        </is>
      </c>
    </row>
    <row r="85" ht="18" customHeight="1">
      <c r="A85" s="11" t="inlineStr">
        <is>
          <t>Developer Profit ($)</t>
        </is>
      </c>
      <c r="B85" s="45" t="n">
        <v>3716608.695652173</v>
      </c>
      <c r="C85" s="34" t="inlineStr">
        <is>
          <t>$</t>
        </is>
      </c>
      <c r="D85" s="46" t="inlineStr"/>
    </row>
    <row r="86" ht="18" customHeight="1">
      <c r="A86" s="12" t="inlineStr">
        <is>
          <t>Profit as % of GDV</t>
        </is>
      </c>
      <c r="B86" s="53" t="n">
        <v>0.15</v>
      </c>
      <c r="C86" s="37" t="inlineStr"/>
      <c r="D86" s="44" t="inlineStr"/>
    </row>
    <row r="87" ht="18" customHeight="1">
      <c r="A87" s="11" t="inlineStr">
        <is>
          <t>Profit Per Unit</t>
        </is>
      </c>
      <c r="B87" s="45" t="n">
        <v>49554.78260869565</v>
      </c>
      <c r="C87" s="34" t="inlineStr">
        <is>
          <t>$/unit</t>
        </is>
      </c>
      <c r="D87" s="46" t="inlineStr"/>
    </row>
    <row r="88" ht="18" customHeight="1">
      <c r="A88" s="12" t="inlineStr">
        <is>
          <t>Development Yield</t>
        </is>
      </c>
      <c r="B88" s="53" t="n">
        <v>0.1071352745175503</v>
      </c>
      <c r="C88" s="37" t="inlineStr"/>
      <c r="D88" s="44" t="inlineStr">
        <is>
          <t>profit / total dev cost</t>
        </is>
      </c>
    </row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74">
    <mergeCell ref="D83:F83"/>
    <mergeCell ref="D11:F11"/>
    <mergeCell ref="D13:F13"/>
    <mergeCell ref="D76:F76"/>
    <mergeCell ref="D41:F41"/>
    <mergeCell ref="D32:F32"/>
    <mergeCell ref="D61:F61"/>
    <mergeCell ref="D70:F70"/>
    <mergeCell ref="D48:F48"/>
    <mergeCell ref="D17:F17"/>
    <mergeCell ref="D66:F66"/>
    <mergeCell ref="D75:F75"/>
    <mergeCell ref="D7:F7"/>
    <mergeCell ref="D47:F47"/>
    <mergeCell ref="D16:F16"/>
    <mergeCell ref="D87:F87"/>
    <mergeCell ref="D72:F72"/>
    <mergeCell ref="A2:F2"/>
    <mergeCell ref="D37:F37"/>
    <mergeCell ref="D71:F71"/>
    <mergeCell ref="D62:F62"/>
    <mergeCell ref="D12:F12"/>
    <mergeCell ref="D18:F18"/>
    <mergeCell ref="D56:F56"/>
    <mergeCell ref="D9:F9"/>
    <mergeCell ref="D58:F58"/>
    <mergeCell ref="A4:F4"/>
    <mergeCell ref="D68:F68"/>
    <mergeCell ref="D8:F8"/>
    <mergeCell ref="D25:F25"/>
    <mergeCell ref="D15:F15"/>
    <mergeCell ref="A29:F29"/>
    <mergeCell ref="D33:F33"/>
    <mergeCell ref="D55:F55"/>
    <mergeCell ref="D24:F24"/>
    <mergeCell ref="D42:F42"/>
    <mergeCell ref="D51:F51"/>
    <mergeCell ref="D38:F38"/>
    <mergeCell ref="D64:F64"/>
    <mergeCell ref="D14:F14"/>
    <mergeCell ref="D67:F67"/>
    <mergeCell ref="D73:F73"/>
    <mergeCell ref="D23:F23"/>
    <mergeCell ref="D79:F79"/>
    <mergeCell ref="D85:F85"/>
    <mergeCell ref="D54:F54"/>
    <mergeCell ref="D50:F50"/>
    <mergeCell ref="D88:F88"/>
    <mergeCell ref="D26:F26"/>
    <mergeCell ref="D44:F44"/>
    <mergeCell ref="D57:F57"/>
    <mergeCell ref="D59:F59"/>
    <mergeCell ref="D20:F20"/>
    <mergeCell ref="D34:F34"/>
    <mergeCell ref="D63:F63"/>
    <mergeCell ref="D10:F10"/>
    <mergeCell ref="D81:F81"/>
    <mergeCell ref="D19:F19"/>
    <mergeCell ref="D80:F80"/>
    <mergeCell ref="D31:F31"/>
    <mergeCell ref="A1:F1"/>
    <mergeCell ref="D46:F46"/>
    <mergeCell ref="D22:F22"/>
    <mergeCell ref="D40:F40"/>
    <mergeCell ref="D65:F65"/>
    <mergeCell ref="D36:F36"/>
    <mergeCell ref="D84:F84"/>
    <mergeCell ref="D45:F45"/>
    <mergeCell ref="D52:F52"/>
    <mergeCell ref="D21:F21"/>
    <mergeCell ref="D86:F86"/>
    <mergeCell ref="D6:F6"/>
    <mergeCell ref="D77:F77"/>
    <mergeCell ref="D49:F49"/>
  </mergeCells>
  <conditionalFormatting sqref="B31:B8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31" t="inlineStr">
        <is>
          <t>Scenario B — 8-Storey Model | Garrett Health District Residences</t>
        </is>
      </c>
    </row>
    <row r="2" ht="20" customHeight="1">
      <c r="A2" s="32" t="inlineStr">
        <is>
          <t>Purpose-Built Rental | 15,000 sqft site | FSR 3.0 | 8 Storeys | Base Construction Cost $430/sqft</t>
        </is>
      </c>
    </row>
    <row r="3" ht="18" customHeight="1"/>
    <row r="4" ht="18" customHeight="1">
      <c r="A4" s="3" t="inlineStr">
        <is>
          <t>INPUT ASSUMPTIONS (Yellow = Editable)</t>
        </is>
      </c>
    </row>
    <row r="5" ht="18" customHeight="1">
      <c r="A5" s="10" t="inlineStr">
        <is>
          <t>Item</t>
        </is>
      </c>
      <c r="B5" s="10" t="inlineStr">
        <is>
          <t>Value</t>
        </is>
      </c>
      <c r="C5" s="10" t="inlineStr">
        <is>
          <t>Unit</t>
        </is>
      </c>
      <c r="D5" s="10" t="inlineStr">
        <is>
          <t>Notes</t>
        </is>
      </c>
      <c r="E5" s="10" t="inlineStr"/>
      <c r="F5" s="10" t="inlineStr"/>
    </row>
    <row r="6" ht="18" customHeight="1">
      <c r="A6" s="7" t="inlineStr">
        <is>
          <t>Lot Area</t>
        </is>
      </c>
      <c r="B6" s="14" t="n">
        <v>15000</v>
      </c>
      <c r="C6" s="33" t="inlineStr">
        <is>
          <t>sqft</t>
        </is>
      </c>
      <c r="D6" s="34" t="inlineStr">
        <is>
          <t>3 lots combined</t>
        </is>
      </c>
    </row>
    <row r="7" ht="18" customHeight="1">
      <c r="A7" s="4" t="inlineStr">
        <is>
          <t>FSR (max TOD Tier 3)</t>
        </is>
      </c>
      <c r="B7" s="35" t="n">
        <v>3</v>
      </c>
      <c r="C7" s="36" t="inlineStr"/>
      <c r="D7" s="37" t="inlineStr">
        <is>
          <t>BC TOD legislation</t>
        </is>
      </c>
    </row>
    <row r="8" ht="18" customHeight="1">
      <c r="A8" s="7" t="inlineStr">
        <is>
          <t>Storeys</t>
        </is>
      </c>
      <c r="B8" s="38" t="n">
        <v>8</v>
      </c>
      <c r="C8" s="33" t="inlineStr"/>
      <c r="D8" s="34" t="inlineStr">
        <is>
          <t>Scenario B</t>
        </is>
      </c>
    </row>
    <row r="9" ht="18" customHeight="1">
      <c r="A9" s="4" t="inlineStr">
        <is>
          <t>Gross-Up Factor</t>
        </is>
      </c>
      <c r="B9" s="35" t="n">
        <v>1.18</v>
      </c>
      <c r="C9" s="36" t="inlineStr"/>
      <c r="D9" s="37" t="inlineStr">
        <is>
          <t>gross building / net saleable</t>
        </is>
      </c>
    </row>
    <row r="10" ht="18" customHeight="1">
      <c r="A10" s="7" t="inlineStr">
        <is>
          <t>Unit Size (avg)</t>
        </is>
      </c>
      <c r="B10" s="38" t="n">
        <v>700</v>
      </c>
      <c r="C10" s="33" t="inlineStr">
        <is>
          <t>sqft</t>
        </is>
      </c>
      <c r="D10" s="34" t="inlineStr"/>
    </row>
    <row r="11" ht="18" customHeight="1">
      <c r="A11" s="4" t="inlineStr">
        <is>
          <t>Monthly Rent (avg)</t>
        </is>
      </c>
      <c r="B11" s="17" t="n">
        <v>2100</v>
      </c>
      <c r="C11" s="36" t="inlineStr">
        <is>
          <t>$/unit</t>
        </is>
      </c>
      <c r="D11" s="37" t="inlineStr"/>
    </row>
    <row r="12" ht="18" customHeight="1">
      <c r="A12" s="7" t="inlineStr">
        <is>
          <t>Vacancy Allowance</t>
        </is>
      </c>
      <c r="B12" s="27" t="n">
        <v>0.02</v>
      </c>
      <c r="C12" s="33" t="inlineStr"/>
      <c r="D12" s="34" t="inlineStr">
        <is>
          <t>2%</t>
        </is>
      </c>
    </row>
    <row r="13" ht="18" customHeight="1">
      <c r="A13" s="4" t="inlineStr">
        <is>
          <t>Operating Cost</t>
        </is>
      </c>
      <c r="B13" s="35" t="n">
        <v>9.5</v>
      </c>
      <c r="C13" s="36" t="inlineStr">
        <is>
          <t>$/sqft/yr</t>
        </is>
      </c>
      <c r="D13" s="37" t="inlineStr">
        <is>
          <t>net saleable area</t>
        </is>
      </c>
    </row>
    <row r="14" ht="18" customHeight="1">
      <c r="A14" s="7" t="inlineStr">
        <is>
          <t>Cap Rate (stabilized)</t>
        </is>
      </c>
      <c r="B14" s="27" t="n">
        <v>0.0575</v>
      </c>
      <c r="C14" s="33" t="inlineStr"/>
      <c r="D14" s="34" t="inlineStr">
        <is>
          <t>5.75%</t>
        </is>
      </c>
    </row>
    <row r="15" ht="18" customHeight="1">
      <c r="A15" s="4" t="inlineStr">
        <is>
          <t>Parking Ratio</t>
        </is>
      </c>
      <c r="B15" s="28" t="n">
        <v>0.4</v>
      </c>
      <c r="C15" s="36" t="inlineStr">
        <is>
          <t>spaces/unit</t>
        </is>
      </c>
      <c r="D15" s="37" t="inlineStr">
        <is>
          <t>TOD-reduced</t>
        </is>
      </c>
    </row>
    <row r="16" ht="18" customHeight="1">
      <c r="A16" s="7" t="inlineStr">
        <is>
          <t>Parking Cost</t>
        </is>
      </c>
      <c r="B16" s="14" t="n">
        <v>35000</v>
      </c>
      <c r="C16" s="33" t="inlineStr">
        <is>
          <t>$/space</t>
        </is>
      </c>
      <c r="D16" s="34" t="inlineStr">
        <is>
          <t>structured concrete</t>
        </is>
      </c>
    </row>
    <row r="17" ht="18" customHeight="1">
      <c r="A17" s="4" t="inlineStr">
        <is>
          <t>DCL New Westminster</t>
        </is>
      </c>
      <c r="B17" s="35" t="n">
        <v>18.17</v>
      </c>
      <c r="C17" s="36" t="inlineStr">
        <is>
          <t>$/sqft net</t>
        </is>
      </c>
      <c r="D17" s="37" t="inlineStr">
        <is>
          <t>may be partially waived</t>
        </is>
      </c>
    </row>
    <row r="18" ht="18" customHeight="1">
      <c r="A18" s="7" t="inlineStr">
        <is>
          <t>Permits &amp; Fees</t>
        </is>
      </c>
      <c r="B18" s="38" t="n">
        <v>12</v>
      </c>
      <c r="C18" s="33" t="inlineStr">
        <is>
          <t>$/sqft net</t>
        </is>
      </c>
      <c r="D18" s="34" t="inlineStr"/>
    </row>
    <row r="19" ht="18" customHeight="1">
      <c r="A19" s="4" t="inlineStr">
        <is>
          <t>A&amp;E</t>
        </is>
      </c>
      <c r="B19" s="28" t="n">
        <v>0.08</v>
      </c>
      <c r="C19" s="36" t="inlineStr">
        <is>
          <t>% hard constr</t>
        </is>
      </c>
      <c r="D19" s="37" t="inlineStr">
        <is>
          <t>8%</t>
        </is>
      </c>
    </row>
    <row r="20" ht="18" customHeight="1">
      <c r="A20" s="7" t="inlineStr">
        <is>
          <t>Project Management</t>
        </is>
      </c>
      <c r="B20" s="27" t="n">
        <v>0.03</v>
      </c>
      <c r="C20" s="33" t="inlineStr">
        <is>
          <t>% hard constr</t>
        </is>
      </c>
      <c r="D20" s="34" t="inlineStr">
        <is>
          <t>3%</t>
        </is>
      </c>
    </row>
    <row r="21" ht="18" customHeight="1">
      <c r="A21" s="4" t="inlineStr">
        <is>
          <t>Marketing</t>
        </is>
      </c>
      <c r="B21" s="28" t="n">
        <v>0.02</v>
      </c>
      <c r="C21" s="36" t="inlineStr">
        <is>
          <t>% GDV</t>
        </is>
      </c>
      <c r="D21" s="37" t="inlineStr">
        <is>
          <t>2%</t>
        </is>
      </c>
    </row>
    <row r="22" ht="18" customHeight="1">
      <c r="A22" s="7" t="inlineStr">
        <is>
          <t>Legal</t>
        </is>
      </c>
      <c r="B22" s="14" t="n">
        <v>150000</v>
      </c>
      <c r="C22" s="33" t="inlineStr">
        <is>
          <t>$</t>
        </is>
      </c>
      <c r="D22" s="34" t="inlineStr"/>
    </row>
    <row r="23" ht="18" customHeight="1">
      <c r="A23" s="4" t="inlineStr">
        <is>
          <t>Interest Months</t>
        </is>
      </c>
      <c r="B23" s="35" t="n">
        <v>18</v>
      </c>
      <c r="C23" s="36" t="inlineStr">
        <is>
          <t>months</t>
        </is>
      </c>
      <c r="D23" s="37" t="inlineStr">
        <is>
          <t>construction loan</t>
        </is>
      </c>
    </row>
    <row r="24" ht="18" customHeight="1">
      <c r="A24" s="7" t="inlineStr">
        <is>
          <t>Interest Rate</t>
        </is>
      </c>
      <c r="B24" s="27" t="n">
        <v>0.065</v>
      </c>
      <c r="C24" s="33" t="inlineStr"/>
      <c r="D24" s="34" t="inlineStr">
        <is>
          <t>6.5%</t>
        </is>
      </c>
    </row>
    <row r="25" ht="18" customHeight="1">
      <c r="A25" s="4" t="inlineStr">
        <is>
          <t>Developer Profit</t>
        </is>
      </c>
      <c r="B25" s="28" t="n">
        <v>0.15</v>
      </c>
      <c r="C25" s="36" t="inlineStr">
        <is>
          <t>% GDV</t>
        </is>
      </c>
      <c r="D25" s="37" t="inlineStr">
        <is>
          <t>15%</t>
        </is>
      </c>
    </row>
    <row r="26" ht="18" customHeight="1">
      <c r="A26" s="7" t="inlineStr">
        <is>
          <t>Construction Cost</t>
        </is>
      </c>
      <c r="B26" s="38" t="n">
        <v>430</v>
      </c>
      <c r="C26" s="33" t="inlineStr">
        <is>
          <t>$/sqft gross</t>
        </is>
      </c>
      <c r="D26" s="34" t="inlineStr">
        <is>
          <t>BASE CASE</t>
        </is>
      </c>
    </row>
    <row r="27" ht="18" customHeight="1"/>
    <row r="28" ht="18" customHeight="1"/>
    <row r="29" ht="18" customHeight="1">
      <c r="A29" s="3" t="inlineStr">
        <is>
          <t>CALCULATIONS</t>
        </is>
      </c>
    </row>
    <row r="30" ht="18" customHeight="1">
      <c r="A30" s="10" t="inlineStr">
        <is>
          <t>Line Item</t>
        </is>
      </c>
      <c r="B30" s="10" t="inlineStr">
        <is>
          <t>Value</t>
        </is>
      </c>
      <c r="C30" s="10" t="inlineStr">
        <is>
          <t>Unit</t>
        </is>
      </c>
      <c r="D30" s="10" t="inlineStr">
        <is>
          <t>Formula / Notes</t>
        </is>
      </c>
      <c r="E30" s="10" t="inlineStr"/>
      <c r="F30" s="10" t="inlineStr"/>
    </row>
    <row r="31" ht="18" customHeight="1">
      <c r="A31" s="39" t="inlineStr">
        <is>
          <t>NET SALEABLE AREA</t>
        </is>
      </c>
      <c r="B31" s="40" t="n"/>
      <c r="C31" s="41" t="inlineStr"/>
      <c r="D31" s="42" t="inlineStr"/>
    </row>
    <row r="32" ht="18" customHeight="1">
      <c r="A32" s="12" t="inlineStr">
        <is>
          <t>Lot Area</t>
        </is>
      </c>
      <c r="B32" s="43" t="n">
        <v>15000</v>
      </c>
      <c r="C32" s="37" t="inlineStr">
        <is>
          <t>sqft</t>
        </is>
      </c>
      <c r="D32" s="44" t="inlineStr">
        <is>
          <t>15,000 sqft × FSR 3.0</t>
        </is>
      </c>
    </row>
    <row r="33" ht="18" customHeight="1">
      <c r="A33" s="11" t="inlineStr">
        <is>
          <t>FSR</t>
        </is>
      </c>
      <c r="B33" s="45" t="n">
        <v>3</v>
      </c>
      <c r="C33" s="34" t="inlineStr"/>
      <c r="D33" s="46" t="inlineStr">
        <is>
          <t>max TOD Tier 3</t>
        </is>
      </c>
    </row>
    <row r="34" ht="18" customHeight="1">
      <c r="A34" s="12" t="inlineStr">
        <is>
          <t>Storey Area (net saleable)</t>
        </is>
      </c>
      <c r="B34" s="43" t="n">
        <v>45000</v>
      </c>
      <c r="C34" s="37" t="inlineStr">
        <is>
          <t>sqft</t>
        </is>
      </c>
      <c r="D34" s="44">
        <f> Lot Area × FSR</f>
        <v/>
      </c>
    </row>
    <row r="35" ht="18" customHeight="1">
      <c r="A35" s="47" t="n"/>
      <c r="B35" s="47" t="n"/>
      <c r="C35" s="47" t="n"/>
      <c r="D35" s="47" t="n"/>
      <c r="E35" s="47" t="n"/>
      <c r="F35" s="47" t="n"/>
    </row>
    <row r="36" ht="18" customHeight="1">
      <c r="A36" s="39" t="inlineStr">
        <is>
          <t>GROSS BUILDING AREA</t>
        </is>
      </c>
      <c r="B36" s="40" t="n"/>
      <c r="C36" s="41" t="inlineStr"/>
      <c r="D36" s="42" t="inlineStr"/>
    </row>
    <row r="37" ht="18" customHeight="1">
      <c r="A37" s="11" t="inlineStr">
        <is>
          <t>Gross-Up Factor</t>
        </is>
      </c>
      <c r="B37" s="45" t="n">
        <v>1.18</v>
      </c>
      <c r="C37" s="34" t="inlineStr"/>
      <c r="D37" s="46" t="inlineStr">
        <is>
          <t>1.18</t>
        </is>
      </c>
    </row>
    <row r="38" ht="18" customHeight="1">
      <c r="A38" s="12" t="inlineStr">
        <is>
          <t>Gross Area (incl. walls)</t>
        </is>
      </c>
      <c r="B38" s="43" t="n">
        <v>53100</v>
      </c>
      <c r="C38" s="37" t="inlineStr">
        <is>
          <t>sqft</t>
        </is>
      </c>
      <c r="D38" s="44">
        <f> Storey Area × 1.18</f>
        <v/>
      </c>
    </row>
    <row r="39" ht="18" customHeight="1">
      <c r="A39" s="47" t="n"/>
      <c r="B39" s="47" t="n"/>
      <c r="C39" s="47" t="n"/>
      <c r="D39" s="47" t="n"/>
      <c r="E39" s="47" t="n"/>
      <c r="F39" s="47" t="n"/>
    </row>
    <row r="40" ht="18" customHeight="1">
      <c r="A40" s="39" t="inlineStr">
        <is>
          <t>UNIT COUNT</t>
        </is>
      </c>
      <c r="B40" s="40" t="n"/>
      <c r="C40" s="41" t="inlineStr"/>
      <c r="D40" s="42" t="inlineStr"/>
    </row>
    <row r="41" ht="18" customHeight="1">
      <c r="A41" s="11" t="inlineStr">
        <is>
          <t>Average Unit Size</t>
        </is>
      </c>
      <c r="B41" s="45" t="n">
        <v>700</v>
      </c>
      <c r="C41" s="34" t="inlineStr">
        <is>
          <t>sqft</t>
        </is>
      </c>
      <c r="D41" s="46" t="inlineStr"/>
    </row>
    <row r="42" ht="18" customHeight="1">
      <c r="A42" s="12" t="inlineStr">
        <is>
          <t>Number of Units</t>
        </is>
      </c>
      <c r="B42" s="48" t="n">
        <v>75</v>
      </c>
      <c r="C42" s="37" t="inlineStr">
        <is>
          <t>units</t>
        </is>
      </c>
      <c r="D42" s="44">
        <f> Gross Area / 700 sqft</f>
        <v/>
      </c>
    </row>
    <row r="43" ht="18" customHeight="1">
      <c r="A43" s="47" t="n"/>
      <c r="B43" s="47" t="n"/>
      <c r="C43" s="47" t="n"/>
      <c r="D43" s="47" t="n"/>
      <c r="E43" s="47" t="n"/>
      <c r="F43" s="47" t="n"/>
    </row>
    <row r="44" ht="18" customHeight="1">
      <c r="A44" s="39" t="inlineStr">
        <is>
          <t>REVENUE</t>
        </is>
      </c>
      <c r="B44" s="40" t="n"/>
      <c r="C44" s="41" t="inlineStr"/>
      <c r="D44" s="42" t="inlineStr"/>
    </row>
    <row r="45" ht="18" customHeight="1">
      <c r="A45" s="11" t="inlineStr">
        <is>
          <t>Annual Rent per Unit</t>
        </is>
      </c>
      <c r="B45" s="45" t="n">
        <v>25200</v>
      </c>
      <c r="C45" s="34" t="inlineStr">
        <is>
          <t>$/unit/yr</t>
        </is>
      </c>
      <c r="D45" s="46">
        <f> $2,100 × 12</f>
        <v/>
      </c>
    </row>
    <row r="46" ht="18" customHeight="1">
      <c r="A46" s="12" t="inlineStr">
        <is>
          <t>Gross Rental Income</t>
        </is>
      </c>
      <c r="B46" s="43" t="n">
        <v>1890000</v>
      </c>
      <c r="C46" s="37" t="inlineStr">
        <is>
          <t>$/yr</t>
        </is>
      </c>
      <c r="D46" s="44">
        <f> Annual rent × unit count</f>
        <v/>
      </c>
    </row>
    <row r="47" ht="18" customHeight="1">
      <c r="A47" s="11" t="inlineStr">
        <is>
          <t>Vacancy Loss (2%)</t>
        </is>
      </c>
      <c r="B47" s="45" t="n">
        <v>37800</v>
      </c>
      <c r="C47" s="34" t="inlineStr">
        <is>
          <t>$/yr</t>
        </is>
      </c>
      <c r="D47" s="46">
        <f> Gross × 2%</f>
        <v/>
      </c>
    </row>
    <row r="48" ht="18" customHeight="1">
      <c r="A48" s="12" t="inlineStr">
        <is>
          <t>Effective Rental Income</t>
        </is>
      </c>
      <c r="B48" s="43" t="n">
        <v>1852200</v>
      </c>
      <c r="C48" s="37" t="inlineStr">
        <is>
          <t>$/yr</t>
        </is>
      </c>
      <c r="D48" s="44">
        <f> Gross - Vacancy</f>
        <v/>
      </c>
    </row>
    <row r="49" ht="18" customHeight="1">
      <c r="A49" s="11" t="inlineStr">
        <is>
          <t>Operating Costs</t>
        </is>
      </c>
      <c r="B49" s="45" t="n">
        <v>427500</v>
      </c>
      <c r="C49" s="34" t="inlineStr">
        <is>
          <t>$/yr</t>
        </is>
      </c>
      <c r="D49" s="46">
        <f> $9.50 × storey area</f>
        <v/>
      </c>
    </row>
    <row r="50" ht="18" customHeight="1">
      <c r="A50" s="49" t="inlineStr">
        <is>
          <t>Stabilized NOI</t>
        </is>
      </c>
      <c r="B50" s="50" t="n">
        <v>1424700</v>
      </c>
      <c r="C50" s="51" t="inlineStr">
        <is>
          <t>$/yr</t>
        </is>
      </c>
      <c r="D50" s="52">
        <f> Effective - Operating</f>
        <v/>
      </c>
    </row>
    <row r="51" ht="18" customHeight="1">
      <c r="A51" s="11" t="inlineStr">
        <is>
          <t>Cap Rate</t>
        </is>
      </c>
      <c r="B51" s="54" t="n">
        <v>0.0575</v>
      </c>
      <c r="C51" s="34" t="inlineStr"/>
      <c r="D51" s="46" t="inlineStr">
        <is>
          <t>5.75%</t>
        </is>
      </c>
    </row>
    <row r="52" ht="18" customHeight="1">
      <c r="A52" s="49" t="inlineStr">
        <is>
          <t>GROSS DEVELOPMENT VALUE (GDV)</t>
        </is>
      </c>
      <c r="B52" s="50" t="n">
        <v>24777391.30434782</v>
      </c>
      <c r="C52" s="51" t="inlineStr">
        <is>
          <t>$</t>
        </is>
      </c>
      <c r="D52" s="52">
        <f> NOI / Cap Rate</f>
        <v/>
      </c>
    </row>
    <row r="53" ht="18" customHeight="1">
      <c r="A53" s="47" t="n"/>
      <c r="B53" s="47" t="n"/>
      <c r="C53" s="47" t="n"/>
      <c r="D53" s="47" t="n"/>
      <c r="E53" s="47" t="n"/>
      <c r="F53" s="47" t="n"/>
    </row>
    <row r="54" ht="18" customHeight="1">
      <c r="A54" s="39" t="inlineStr">
        <is>
          <t>HARD COSTS</t>
        </is>
      </c>
      <c r="B54" s="40" t="n"/>
      <c r="C54" s="41" t="inlineStr"/>
      <c r="D54" s="42" t="inlineStr"/>
    </row>
    <row r="55" ht="18" customHeight="1">
      <c r="A55" s="11" t="inlineStr">
        <is>
          <t>Construction Cost per sqft</t>
        </is>
      </c>
      <c r="B55" s="45" t="n">
        <v>430</v>
      </c>
      <c r="C55" s="34" t="inlineStr">
        <is>
          <t>$/sqft gross</t>
        </is>
      </c>
      <c r="D55" s="46" t="inlineStr">
        <is>
          <t>base case $430</t>
        </is>
      </c>
    </row>
    <row r="56" ht="18" customHeight="1">
      <c r="A56" s="12" t="inlineStr">
        <is>
          <t>Hard Construction Cost</t>
        </is>
      </c>
      <c r="B56" s="43" t="n">
        <v>23974650</v>
      </c>
      <c r="C56" s="37" t="inlineStr">
        <is>
          <t>$</t>
        </is>
      </c>
      <c r="D56" s="44">
        <f> $430 × gross area</f>
        <v/>
      </c>
    </row>
    <row r="57" ht="18" customHeight="1">
      <c r="A57" s="11" t="inlineStr">
        <is>
          <t>Parking Spaces</t>
        </is>
      </c>
      <c r="B57" s="45" t="n">
        <v>30</v>
      </c>
      <c r="C57" s="34" t="inlineStr">
        <is>
          <t>spaces</t>
        </is>
      </c>
      <c r="D57" s="46">
        <f> units × 0.4</f>
        <v/>
      </c>
    </row>
    <row r="58" ht="18" customHeight="1">
      <c r="A58" s="12" t="inlineStr">
        <is>
          <t>Structured Parking Cost</t>
        </is>
      </c>
      <c r="B58" s="43" t="n">
        <v>1050000</v>
      </c>
      <c r="C58" s="37" t="inlineStr">
        <is>
          <t>$</t>
        </is>
      </c>
      <c r="D58" s="44">
        <f> spaces × $35,000</f>
        <v/>
      </c>
    </row>
    <row r="59" ht="18" customHeight="1">
      <c r="A59" s="49" t="inlineStr">
        <is>
          <t>TOTAL HARD COSTS</t>
        </is>
      </c>
      <c r="B59" s="50" t="n">
        <v>25024650</v>
      </c>
      <c r="C59" s="51" t="inlineStr">
        <is>
          <t>$</t>
        </is>
      </c>
      <c r="D59" s="52">
        <f> constr + parking</f>
        <v/>
      </c>
    </row>
    <row r="60" ht="18" customHeight="1">
      <c r="A60" s="47" t="n"/>
      <c r="B60" s="47" t="n"/>
      <c r="C60" s="47" t="n"/>
      <c r="D60" s="47" t="n"/>
      <c r="E60" s="47" t="n"/>
      <c r="F60" s="47" t="n"/>
    </row>
    <row r="61" ht="18" customHeight="1">
      <c r="A61" s="39" t="inlineStr">
        <is>
          <t>SOFT COSTS</t>
        </is>
      </c>
      <c r="B61" s="40" t="n"/>
      <c r="C61" s="41" t="inlineStr"/>
      <c r="D61" s="42" t="inlineStr"/>
    </row>
    <row r="62" ht="18" customHeight="1">
      <c r="A62" s="12" t="inlineStr">
        <is>
          <t>A&amp;E (8% hard constr)</t>
        </is>
      </c>
      <c r="B62" s="43" t="n">
        <v>1917972</v>
      </c>
      <c r="C62" s="37" t="inlineStr">
        <is>
          <t>$</t>
        </is>
      </c>
      <c r="D62" s="44">
        <f> 8% × hard constr</f>
        <v/>
      </c>
    </row>
    <row r="63" ht="18" customHeight="1">
      <c r="A63" s="11" t="inlineStr">
        <is>
          <t>Project Management (3%)</t>
        </is>
      </c>
      <c r="B63" s="45" t="n">
        <v>719239.5</v>
      </c>
      <c r="C63" s="34" t="inlineStr">
        <is>
          <t>$</t>
        </is>
      </c>
      <c r="D63" s="46">
        <f> 3% × hard constr</f>
        <v/>
      </c>
    </row>
    <row r="64" ht="18" customHeight="1">
      <c r="A64" s="12" t="inlineStr">
        <is>
          <t>Marketing (2% GDV)</t>
        </is>
      </c>
      <c r="B64" s="43" t="n">
        <v>495547.8260869565</v>
      </c>
      <c r="C64" s="37" t="inlineStr">
        <is>
          <t>$</t>
        </is>
      </c>
      <c r="D64" s="44">
        <f> 2% × GDV</f>
        <v/>
      </c>
    </row>
    <row r="65" ht="18" customHeight="1">
      <c r="A65" s="11" t="inlineStr">
        <is>
          <t>Legal</t>
        </is>
      </c>
      <c r="B65" s="45" t="n">
        <v>150000</v>
      </c>
      <c r="C65" s="34" t="inlineStr">
        <is>
          <t>$</t>
        </is>
      </c>
      <c r="D65" s="46" t="inlineStr">
        <is>
          <t>fixed $150,000</t>
        </is>
      </c>
    </row>
    <row r="66" ht="18" customHeight="1">
      <c r="A66" s="12" t="inlineStr">
        <is>
          <t>Permits &amp; Fees ($12/sqft net)</t>
        </is>
      </c>
      <c r="B66" s="43" t="n">
        <v>540000</v>
      </c>
      <c r="C66" s="37" t="inlineStr">
        <is>
          <t>$</t>
        </is>
      </c>
      <c r="D66" s="44">
        <f> $12 × storey area</f>
        <v/>
      </c>
    </row>
    <row r="67" ht="18" customHeight="1">
      <c r="A67" s="11" t="inlineStr">
        <is>
          <t>DCL New Westminster ($18.17/sqft)</t>
        </is>
      </c>
      <c r="B67" s="45" t="n">
        <v>817650.0000000001</v>
      </c>
      <c r="C67" s="34" t="inlineStr">
        <is>
          <t>$</t>
        </is>
      </c>
      <c r="D67" s="46">
        <f> $18.17 × storey area</f>
        <v/>
      </c>
    </row>
    <row r="68" ht="18" customHeight="1">
      <c r="A68" s="49" t="inlineStr">
        <is>
          <t>TOTAL SOFT COSTS</t>
        </is>
      </c>
      <c r="B68" s="50" t="n">
        <v>4640409.326086957</v>
      </c>
      <c r="C68" s="51" t="inlineStr">
        <is>
          <t>$</t>
        </is>
      </c>
      <c r="D68" s="52" t="inlineStr">
        <is>
          <t>sum above</t>
        </is>
      </c>
    </row>
    <row r="69" ht="18" customHeight="1">
      <c r="A69" s="47" t="n"/>
      <c r="B69" s="47" t="n"/>
      <c r="C69" s="47" t="n"/>
      <c r="D69" s="47" t="n"/>
      <c r="E69" s="47" t="n"/>
      <c r="F69" s="47" t="n"/>
    </row>
    <row r="70" ht="18" customHeight="1">
      <c r="A70" s="39" t="inlineStr">
        <is>
          <t>FINANCING COSTS</t>
        </is>
      </c>
      <c r="B70" s="40" t="n"/>
      <c r="C70" s="41" t="inlineStr"/>
      <c r="D70" s="42" t="inlineStr"/>
    </row>
    <row r="71" ht="18" customHeight="1">
      <c r="A71" s="11" t="inlineStr">
        <is>
          <t>Interest Reserve</t>
        </is>
      </c>
      <c r="B71" s="45" t="n">
        <v>2439903.375</v>
      </c>
      <c r="C71" s="34" t="inlineStr">
        <is>
          <t>$</t>
        </is>
      </c>
      <c r="D71" s="46" t="inlineStr">
        <is>
          <t>hard costs × 6.5% × 18/12</t>
        </is>
      </c>
    </row>
    <row r="72" ht="18" customHeight="1">
      <c r="A72" s="12" t="inlineStr">
        <is>
          <t>Permanent Financing Fee</t>
        </is>
      </c>
      <c r="B72" s="43" t="n">
        <v>247773.9130434782</v>
      </c>
      <c r="C72" s="37" t="inlineStr">
        <is>
          <t>$</t>
        </is>
      </c>
      <c r="D72" s="44">
        <f> 1% × GDV</f>
        <v/>
      </c>
    </row>
    <row r="73" ht="18" customHeight="1">
      <c r="A73" s="49" t="inlineStr">
        <is>
          <t>TOTAL FINANCING COSTS</t>
        </is>
      </c>
      <c r="B73" s="50" t="n">
        <v>2687677.288043478</v>
      </c>
      <c r="C73" s="51" t="inlineStr">
        <is>
          <t>$</t>
        </is>
      </c>
      <c r="D73" s="52" t="inlineStr">
        <is>
          <t>sum above</t>
        </is>
      </c>
    </row>
    <row r="74" ht="18" customHeight="1">
      <c r="A74" s="47" t="n"/>
      <c r="B74" s="47" t="n"/>
      <c r="C74" s="47" t="n"/>
      <c r="D74" s="47" t="n"/>
      <c r="E74" s="47" t="n"/>
      <c r="F74" s="47" t="n"/>
    </row>
    <row r="75" ht="18" customHeight="1">
      <c r="A75" s="39" t="inlineStr">
        <is>
          <t>PROFIT &amp; TOTAL</t>
        </is>
      </c>
      <c r="B75" s="40" t="n"/>
      <c r="C75" s="41" t="inlineStr"/>
      <c r="D75" s="42" t="inlineStr"/>
    </row>
    <row r="76" ht="18" customHeight="1">
      <c r="A76" s="12" t="inlineStr">
        <is>
          <t>Developer Profit (15% GDV)</t>
        </is>
      </c>
      <c r="B76" s="43" t="n">
        <v>3716608.695652173</v>
      </c>
      <c r="C76" s="37" t="inlineStr">
        <is>
          <t>$</t>
        </is>
      </c>
      <c r="D76" s="44">
        <f> 15% × GDV</f>
        <v/>
      </c>
    </row>
    <row r="77" ht="18" customHeight="1">
      <c r="A77" s="49" t="inlineStr">
        <is>
          <t>Total Costs (excl. land)</t>
        </is>
      </c>
      <c r="B77" s="50" t="n">
        <v>36069345.30978261</v>
      </c>
      <c r="C77" s="51" t="inlineStr">
        <is>
          <t>$</t>
        </is>
      </c>
      <c r="D77" s="52" t="inlineStr">
        <is>
          <t>hard + soft + financing + profit</t>
        </is>
      </c>
    </row>
    <row r="78" ht="18" customHeight="1">
      <c r="A78" s="47" t="n"/>
      <c r="B78" s="47" t="n"/>
      <c r="C78" s="47" t="n"/>
      <c r="D78" s="47" t="n"/>
      <c r="E78" s="47" t="n"/>
      <c r="F78" s="47" t="n"/>
    </row>
    <row r="79" ht="18" customHeight="1">
      <c r="A79" s="39" t="inlineStr">
        <is>
          <t>RESIDUAL LAND VALUE</t>
        </is>
      </c>
      <c r="B79" s="40" t="inlineStr"/>
      <c r="C79" s="41" t="inlineStr"/>
      <c r="D79" s="42">
        <f> GDV - Total Costs (excl. land)</f>
        <v/>
      </c>
    </row>
    <row r="80" ht="18" customHeight="1">
      <c r="A80" s="12" t="inlineStr">
        <is>
          <t>BC Property Transfer Tax</t>
        </is>
      </c>
      <c r="B80" s="53" t="n">
        <v>-112919.5400543478</v>
      </c>
      <c r="C80" s="37" t="inlineStr">
        <is>
          <t>$</t>
        </is>
      </c>
      <c r="D80" s="44" t="inlineStr">
        <is>
          <t>1% / 2% / 3% marginal</t>
        </is>
      </c>
    </row>
    <row r="81" ht="18" customHeight="1">
      <c r="A81" s="49" t="inlineStr">
        <is>
          <t>Net Residual (after tax)</t>
        </is>
      </c>
      <c r="B81" s="25" t="n">
        <v>-11179034.46538044</v>
      </c>
      <c r="C81" s="51" t="inlineStr">
        <is>
          <t>$</t>
        </is>
      </c>
      <c r="D81" s="52">
        <f> residual - land tax</f>
        <v/>
      </c>
    </row>
    <row r="82" ht="18" customHeight="1">
      <c r="A82" s="47" t="n"/>
      <c r="B82" s="47" t="n"/>
      <c r="C82" s="47" t="n"/>
      <c r="D82" s="47" t="n"/>
      <c r="E82" s="47" t="n"/>
      <c r="F82" s="47" t="n"/>
    </row>
    <row r="83" ht="18" customHeight="1">
      <c r="A83" s="39" t="inlineStr">
        <is>
          <t>PROFIT METRICS</t>
        </is>
      </c>
      <c r="B83" s="40" t="n"/>
      <c r="C83" s="41" t="inlineStr"/>
      <c r="D83" s="42" t="inlineStr"/>
    </row>
    <row r="84" ht="18" customHeight="1">
      <c r="A84" s="12" t="inlineStr">
        <is>
          <t>Breakeven Cap Rate</t>
        </is>
      </c>
      <c r="B84" s="53" t="n">
        <v>0.03949891487533037</v>
      </c>
      <c r="C84" s="37" t="inlineStr"/>
      <c r="D84" s="44" t="inlineStr">
        <is>
          <t>NOI / total costs</t>
        </is>
      </c>
    </row>
    <row r="85" ht="18" customHeight="1">
      <c r="A85" s="11" t="inlineStr">
        <is>
          <t>Developer Profit ($)</t>
        </is>
      </c>
      <c r="B85" s="45" t="n">
        <v>3716608.695652173</v>
      </c>
      <c r="C85" s="34" t="inlineStr">
        <is>
          <t>$</t>
        </is>
      </c>
      <c r="D85" s="46" t="inlineStr"/>
    </row>
    <row r="86" ht="18" customHeight="1">
      <c r="A86" s="12" t="inlineStr">
        <is>
          <t>Profit as % of GDV</t>
        </is>
      </c>
      <c r="B86" s="53" t="n">
        <v>0.15</v>
      </c>
      <c r="C86" s="37" t="inlineStr"/>
      <c r="D86" s="44" t="inlineStr"/>
    </row>
    <row r="87" ht="18" customHeight="1">
      <c r="A87" s="11" t="inlineStr">
        <is>
          <t>Profit Per Unit</t>
        </is>
      </c>
      <c r="B87" s="45" t="n">
        <v>49554.78260869565</v>
      </c>
      <c r="C87" s="34" t="inlineStr">
        <is>
          <t>$/unit</t>
        </is>
      </c>
      <c r="D87" s="46" t="inlineStr"/>
    </row>
    <row r="88" ht="18" customHeight="1">
      <c r="A88" s="12" t="inlineStr">
        <is>
          <t>Development Yield</t>
        </is>
      </c>
      <c r="B88" s="53" t="n">
        <v>0.1030406475008618</v>
      </c>
      <c r="C88" s="37" t="inlineStr"/>
      <c r="D88" s="44" t="inlineStr">
        <is>
          <t>profit / total dev cost</t>
        </is>
      </c>
    </row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74">
    <mergeCell ref="D83:F83"/>
    <mergeCell ref="D11:F11"/>
    <mergeCell ref="D13:F13"/>
    <mergeCell ref="D76:F76"/>
    <mergeCell ref="D41:F41"/>
    <mergeCell ref="D32:F32"/>
    <mergeCell ref="D61:F61"/>
    <mergeCell ref="D70:F70"/>
    <mergeCell ref="D48:F48"/>
    <mergeCell ref="D17:F17"/>
    <mergeCell ref="D66:F66"/>
    <mergeCell ref="D75:F75"/>
    <mergeCell ref="D7:F7"/>
    <mergeCell ref="D47:F47"/>
    <mergeCell ref="D16:F16"/>
    <mergeCell ref="D87:F87"/>
    <mergeCell ref="D72:F72"/>
    <mergeCell ref="A2:F2"/>
    <mergeCell ref="D37:F37"/>
    <mergeCell ref="D71:F71"/>
    <mergeCell ref="D62:F62"/>
    <mergeCell ref="D12:F12"/>
    <mergeCell ref="D18:F18"/>
    <mergeCell ref="D56:F56"/>
    <mergeCell ref="D9:F9"/>
    <mergeCell ref="D58:F58"/>
    <mergeCell ref="A4:F4"/>
    <mergeCell ref="D68:F68"/>
    <mergeCell ref="D8:F8"/>
    <mergeCell ref="D25:F25"/>
    <mergeCell ref="D15:F15"/>
    <mergeCell ref="A29:F29"/>
    <mergeCell ref="D33:F33"/>
    <mergeCell ref="D55:F55"/>
    <mergeCell ref="D24:F24"/>
    <mergeCell ref="D42:F42"/>
    <mergeCell ref="D51:F51"/>
    <mergeCell ref="D38:F38"/>
    <mergeCell ref="D64:F64"/>
    <mergeCell ref="D14:F14"/>
    <mergeCell ref="D67:F67"/>
    <mergeCell ref="D73:F73"/>
    <mergeCell ref="D23:F23"/>
    <mergeCell ref="D79:F79"/>
    <mergeCell ref="D85:F85"/>
    <mergeCell ref="D54:F54"/>
    <mergeCell ref="D50:F50"/>
    <mergeCell ref="D88:F88"/>
    <mergeCell ref="D26:F26"/>
    <mergeCell ref="D44:F44"/>
    <mergeCell ref="D57:F57"/>
    <mergeCell ref="D59:F59"/>
    <mergeCell ref="D20:F20"/>
    <mergeCell ref="D34:F34"/>
    <mergeCell ref="D63:F63"/>
    <mergeCell ref="D10:F10"/>
    <mergeCell ref="D81:F81"/>
    <mergeCell ref="D19:F19"/>
    <mergeCell ref="D80:F80"/>
    <mergeCell ref="D31:F31"/>
    <mergeCell ref="A1:F1"/>
    <mergeCell ref="D46:F46"/>
    <mergeCell ref="D22:F22"/>
    <mergeCell ref="D40:F40"/>
    <mergeCell ref="D65:F65"/>
    <mergeCell ref="D36:F36"/>
    <mergeCell ref="D84:F84"/>
    <mergeCell ref="D45:F45"/>
    <mergeCell ref="D52:F52"/>
    <mergeCell ref="D21:F21"/>
    <mergeCell ref="D86:F86"/>
    <mergeCell ref="D6:F6"/>
    <mergeCell ref="D77:F77"/>
    <mergeCell ref="D49:F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31" t="inlineStr">
        <is>
          <t>Sensitivity Analysis — Residual Land Value</t>
        </is>
      </c>
    </row>
    <row r="2" ht="20" customHeight="1">
      <c r="A2" s="32" t="inlineStr">
        <is>
          <t>Shows residual land value across a range of cap rates and construction costs for both 6-Storey and 8-Storey scenarios</t>
        </is>
      </c>
    </row>
    <row r="3" ht="18" customHeight="1"/>
    <row r="4" ht="18" customHeight="1">
      <c r="A4" s="3" t="inlineStr">
        <is>
          <t>TABLE 1 — Cap Rate Sensitivity (Construction Cost = $430/sqft, Fixed)</t>
        </is>
      </c>
    </row>
    <row r="5" ht="18" customHeight="1">
      <c r="A5" s="10" t="inlineStr">
        <is>
          <t>Cap Rate</t>
        </is>
      </c>
      <c r="B5" s="10" t="inlineStr">
        <is>
          <t>6-Storey RLV</t>
        </is>
      </c>
      <c r="C5" s="10" t="inlineStr">
        <is>
          <t>6-Storey Net RLV</t>
        </is>
      </c>
      <c r="D5" s="10" t="inlineStr">
        <is>
          <t>8-Storey RLV</t>
        </is>
      </c>
      <c r="E5" s="10" t="inlineStr">
        <is>
          <t>8-Storey Net RLV</t>
        </is>
      </c>
      <c r="F5" s="10" t="inlineStr">
        <is>
          <t>Delta (8 vs 6)</t>
        </is>
      </c>
    </row>
    <row r="6" ht="18" customHeight="1">
      <c r="A6" s="55" t="inlineStr">
        <is>
          <t>5.00%</t>
        </is>
      </c>
      <c r="B6" s="56" t="n">
        <v>-6865792.5</v>
      </c>
      <c r="C6" s="45" t="n">
        <v>-6797134.575</v>
      </c>
      <c r="D6" s="56" t="n">
        <v>-8244334.875</v>
      </c>
      <c r="E6" s="45" t="n">
        <v>-8161891.52625</v>
      </c>
      <c r="F6" s="45" t="n">
        <v>-1378542.375</v>
      </c>
    </row>
    <row r="7" ht="18" customHeight="1">
      <c r="A7" s="57" t="inlineStr">
        <is>
          <t>5.25%</t>
        </is>
      </c>
      <c r="B7" s="56" t="n">
        <v>-7978415.357142858</v>
      </c>
      <c r="C7" s="43" t="n">
        <v>-7898631.203571429</v>
      </c>
      <c r="D7" s="56" t="n">
        <v>-9356957.732142858</v>
      </c>
      <c r="E7" s="43" t="n">
        <v>-9263388.154821429</v>
      </c>
      <c r="F7" s="43" t="n">
        <v>-1378542.375</v>
      </c>
    </row>
    <row r="8" ht="18" customHeight="1">
      <c r="A8" s="55" t="inlineStr">
        <is>
          <t>5.50%</t>
        </is>
      </c>
      <c r="B8" s="56" t="n">
        <v>-8989890.681818184</v>
      </c>
      <c r="C8" s="45" t="n">
        <v>-8899991.775000002</v>
      </c>
      <c r="D8" s="56" t="n">
        <v>-10368433.05681818</v>
      </c>
      <c r="E8" s="45" t="n">
        <v>-10264748.72625</v>
      </c>
      <c r="F8" s="45" t="n">
        <v>-1378542.375</v>
      </c>
    </row>
    <row r="9" ht="18" customHeight="1">
      <c r="A9" s="57" t="inlineStr">
        <is>
          <t>5.75%</t>
        </is>
      </c>
      <c r="B9" s="56" t="n">
        <v>-9913411.630434785</v>
      </c>
      <c r="C9" s="43" t="n">
        <v>-9814277.514130438</v>
      </c>
      <c r="D9" s="56" t="n">
        <v>-11291954.00543479</v>
      </c>
      <c r="E9" s="43" t="n">
        <v>-11179034.46538044</v>
      </c>
      <c r="F9" s="43" t="n">
        <v>-1378542.375</v>
      </c>
    </row>
    <row r="10" ht="18" customHeight="1">
      <c r="A10" s="55" t="inlineStr">
        <is>
          <t>6.00%</t>
        </is>
      </c>
      <c r="B10" s="56" t="n">
        <v>-10759972.5</v>
      </c>
      <c r="C10" s="45" t="n">
        <v>-10652372.775</v>
      </c>
      <c r="D10" s="56" t="n">
        <v>-12138514.875</v>
      </c>
      <c r="E10" s="45" t="n">
        <v>-12017129.72625</v>
      </c>
      <c r="F10" s="45" t="n">
        <v>-1378542.375</v>
      </c>
    </row>
    <row r="11" ht="18" customHeight="1">
      <c r="A11" s="57" t="inlineStr">
        <is>
          <t>6.50%</t>
        </is>
      </c>
      <c r="B11" s="56" t="n">
        <v>-12257734.03846154</v>
      </c>
      <c r="C11" s="43" t="n">
        <v>-12135156.69807693</v>
      </c>
      <c r="D11" s="56" t="n">
        <v>-13636276.41346154</v>
      </c>
      <c r="E11" s="43" t="n">
        <v>-13499913.64932693</v>
      </c>
      <c r="F11" s="43" t="n">
        <v>-1378542.375</v>
      </c>
    </row>
    <row r="12" ht="18" customHeight="1"/>
    <row r="13" ht="18" customHeight="1">
      <c r="A13" s="58" t="inlineStr">
        <is>
          <t>RLV = Residual Land Value (before BC Property Transfer Tax). Net RLV = after land transfer tax. Delta = additional land value from going from 6 to 8 storeys.</t>
        </is>
      </c>
    </row>
    <row r="14" ht="18" customHeight="1"/>
    <row r="15" ht="18" customHeight="1"/>
    <row r="16" ht="18" customHeight="1">
      <c r="A16" s="3" t="inlineStr">
        <is>
          <t>TABLE 2 — Construction Cost Sensitivity (Cap Rate = 5.75%, Fixed)</t>
        </is>
      </c>
    </row>
    <row r="17" ht="18" customHeight="1">
      <c r="A17" s="10" t="inlineStr">
        <is>
          <t>Constr. Cost ($/sqft)</t>
        </is>
      </c>
      <c r="B17" s="10" t="inlineStr">
        <is>
          <t>6-Storey RLV</t>
        </is>
      </c>
      <c r="C17" s="10" t="inlineStr">
        <is>
          <t>6-Storey Net RLV</t>
        </is>
      </c>
      <c r="D17" s="10" t="inlineStr">
        <is>
          <t>8-Storey RLV</t>
        </is>
      </c>
      <c r="E17" s="10" t="inlineStr">
        <is>
          <t>8-Storey Net RLV</t>
        </is>
      </c>
      <c r="F17" s="10" t="inlineStr">
        <is>
          <t>Delta (8 vs 6)</t>
        </is>
      </c>
    </row>
    <row r="18" ht="18" customHeight="1">
      <c r="A18" s="59" t="n">
        <v>400</v>
      </c>
      <c r="B18" s="56" t="n">
        <v>-7989864.130434781</v>
      </c>
      <c r="C18" s="45" t="n">
        <v>-7909965.489130434</v>
      </c>
      <c r="D18" s="56" t="n">
        <v>-9272229.130434785</v>
      </c>
      <c r="E18" s="45" t="n">
        <v>-9179506.839130437</v>
      </c>
      <c r="F18" s="45" t="n">
        <v>-1282365.000000004</v>
      </c>
    </row>
    <row r="19" ht="18" customHeight="1">
      <c r="A19" s="60" t="n">
        <v>420</v>
      </c>
      <c r="B19" s="56" t="n">
        <v>-9272229.130434785</v>
      </c>
      <c r="C19" s="43" t="n">
        <v>-9179506.839130437</v>
      </c>
      <c r="D19" s="56" t="n">
        <v>-10618712.38043479</v>
      </c>
      <c r="E19" s="43" t="n">
        <v>-10512525.25663044</v>
      </c>
      <c r="F19" s="43" t="n">
        <v>-1346483.25</v>
      </c>
    </row>
    <row r="20" ht="18" customHeight="1">
      <c r="A20" s="59" t="n">
        <v>430</v>
      </c>
      <c r="B20" s="56" t="n">
        <v>-9913411.630434785</v>
      </c>
      <c r="C20" s="45" t="n">
        <v>-9814277.514130438</v>
      </c>
      <c r="D20" s="56" t="n">
        <v>-11291954.00543479</v>
      </c>
      <c r="E20" s="45" t="n">
        <v>-11179034.46538044</v>
      </c>
      <c r="F20" s="45" t="n">
        <v>-1378542.375</v>
      </c>
    </row>
    <row r="21" ht="18" customHeight="1">
      <c r="A21" s="60" t="n">
        <v>450</v>
      </c>
      <c r="B21" s="56" t="n">
        <v>-11195776.63043479</v>
      </c>
      <c r="C21" s="43" t="n">
        <v>-11083818.86413044</v>
      </c>
      <c r="D21" s="56" t="n">
        <v>-12638437.25543479</v>
      </c>
      <c r="E21" s="43" t="n">
        <v>-12512052.88288044</v>
      </c>
      <c r="F21" s="43" t="n">
        <v>-1442660.625</v>
      </c>
    </row>
    <row r="22" ht="18" customHeight="1">
      <c r="A22" s="59" t="n">
        <v>470</v>
      </c>
      <c r="B22" s="56" t="n">
        <v>-12478141.63043479</v>
      </c>
      <c r="C22" s="45" t="n">
        <v>-12353360.21413044</v>
      </c>
      <c r="D22" s="56" t="n">
        <v>-13984920.50543479</v>
      </c>
      <c r="E22" s="45" t="n">
        <v>-13845071.30038044</v>
      </c>
      <c r="F22" s="45" t="n">
        <v>-1506778.875</v>
      </c>
    </row>
    <row r="23" ht="18" customHeight="1">
      <c r="A23" s="60" t="n">
        <v>500</v>
      </c>
      <c r="B23" s="56" t="n">
        <v>-14401689.13043479</v>
      </c>
      <c r="C23" s="43" t="n">
        <v>-14257672.23913044</v>
      </c>
      <c r="D23" s="56" t="n">
        <v>-16004645.38043478</v>
      </c>
      <c r="E23" s="43" t="n">
        <v>-15844598.92663043</v>
      </c>
      <c r="F23" s="43" t="n">
        <v>-1602956.249999993</v>
      </c>
    </row>
    <row r="24" ht="18" customHeight="1"/>
    <row r="25" ht="18" customHeight="1"/>
    <row r="26" ht="18" customHeight="1"/>
    <row r="27" ht="18" customHeight="1">
      <c r="A27" s="3" t="inlineStr">
        <is>
          <t>TABLE 3 — Breakeven Analysis (Cap Rate at which Residual Land Value = $0)</t>
        </is>
      </c>
    </row>
    <row r="28" ht="18" customHeight="1">
      <c r="A28" s="10" t="inlineStr">
        <is>
          <t>Scenario</t>
        </is>
      </c>
      <c r="B28" s="10" t="inlineStr">
        <is>
          <t>Breakeven Cap Rate</t>
        </is>
      </c>
      <c r="C28" s="10" t="inlineStr">
        <is>
          <t>vs. Assumed 5.75%</t>
        </is>
      </c>
      <c r="D28" s="10" t="inlineStr">
        <is>
          <t>Buffer (bps)</t>
        </is>
      </c>
      <c r="E28" s="10" t="inlineStr">
        <is>
          <t>Notes</t>
        </is>
      </c>
      <c r="F28" s="10" t="inlineStr"/>
    </row>
    <row r="29" ht="18" customHeight="1">
      <c r="A29" s="4" t="inlineStr">
        <is>
          <t>6-Storey ($430/sqft)</t>
        </is>
      </c>
      <c r="B29" s="61" t="n">
        <v>0.04106852189839427</v>
      </c>
      <c r="C29" s="62" t="n">
        <v>-0.01643147810160573</v>
      </c>
      <c r="D29" s="62" t="n">
        <v>-164.3147810160573</v>
      </c>
      <c r="E29" s="4" t="inlineStr">
        <is>
          <t>Base case</t>
        </is>
      </c>
      <c r="F29" s="63" t="inlineStr"/>
    </row>
    <row r="30" ht="18" customHeight="1">
      <c r="A30" s="4" t="inlineStr">
        <is>
          <t>6-Storey ($470/sqft)</t>
        </is>
      </c>
      <c r="B30" s="61" t="n">
        <v>0.03824129968812948</v>
      </c>
      <c r="C30" s="63" t="n"/>
      <c r="D30" s="63" t="n"/>
      <c r="E30" s="4" t="inlineStr">
        <is>
          <t>High construction</t>
        </is>
      </c>
      <c r="F30" s="63" t="inlineStr"/>
    </row>
    <row r="31" ht="18" customHeight="1">
      <c r="A31" s="4" t="inlineStr">
        <is>
          <t>8-Storey ($430/sqft)</t>
        </is>
      </c>
      <c r="B31" s="61" t="n">
        <v>0.03949891487533037</v>
      </c>
      <c r="C31" s="62" t="n">
        <v>-0.01800108512466964</v>
      </c>
      <c r="D31" s="62" t="n">
        <v>-180.0108512466963</v>
      </c>
      <c r="E31" s="4" t="inlineStr">
        <is>
          <t>Base case</t>
        </is>
      </c>
      <c r="F31" s="63" t="inlineStr"/>
    </row>
    <row r="32" ht="18" customHeight="1">
      <c r="A32" s="4" t="inlineStr">
        <is>
          <t>8-Storey ($470/sqft)</t>
        </is>
      </c>
      <c r="B32" s="61" t="n">
        <v>0.03824129968812948</v>
      </c>
      <c r="C32" s="63" t="n"/>
      <c r="D32" s="63" t="n"/>
      <c r="E32" s="4" t="inlineStr">
        <is>
          <t>High construction</t>
        </is>
      </c>
      <c r="F32" s="63" t="inlineStr"/>
    </row>
    <row r="33" ht="18" customHeight="1"/>
    <row r="34" ht="30" customHeight="1">
      <c r="A34" s="58" t="inlineStr">
        <is>
          <t>Breakeven cap rate = NOI / Total Development Costs (excl. land). A breakeven cap rate ABOVE the assumed 5.75% indicates a positive buffer — the project can absorb rate increases before land value becomes zero.</t>
        </is>
      </c>
    </row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7">
    <mergeCell ref="A2:F2"/>
    <mergeCell ref="A16:F16"/>
    <mergeCell ref="A13:F13"/>
    <mergeCell ref="A1:F1"/>
    <mergeCell ref="A27:F27"/>
    <mergeCell ref="A34:F34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2" customWidth="1" min="5" max="5"/>
    <col width="22" customWidth="1" min="6" max="6"/>
  </cols>
  <sheetData>
    <row r="1" ht="28" customHeight="1">
      <c r="A1" s="31" t="inlineStr">
        <is>
          <t>Residual Land Value — Step-by-Step Calculation</t>
        </is>
      </c>
    </row>
    <row r="2" ht="20" customHeight="1">
      <c r="A2" s="32" t="inlineStr">
        <is>
          <t>Shows the residual land value formula: RLV = GDV − Total Development Costs (excl. land)</t>
        </is>
      </c>
    </row>
    <row r="3" ht="18" customHeight="1"/>
    <row r="4" ht="18" customHeight="1">
      <c r="A4" s="3" t="inlineStr">
        <is>
          <t>STEP 1 — GROSS DEVELOPMENT VALUE (GDV)</t>
        </is>
      </c>
    </row>
    <row r="5" ht="18" customHeight="1">
      <c r="A5" s="10" t="inlineStr">
        <is>
          <t>Component</t>
        </is>
      </c>
      <c r="B5" s="10" t="inlineStr">
        <is>
          <t>6-Storey</t>
        </is>
      </c>
      <c r="C5" s="10" t="inlineStr">
        <is>
          <t>Unit / Formula</t>
        </is>
      </c>
      <c r="D5" s="10" t="inlineStr">
        <is>
          <t>8-Storey</t>
        </is>
      </c>
      <c r="E5" s="10" t="inlineStr">
        <is>
          <t>Unit / Formula</t>
        </is>
      </c>
      <c r="F5" s="10" t="inlineStr">
        <is>
          <t>Notes</t>
        </is>
      </c>
    </row>
    <row r="6" ht="18" customHeight="1">
      <c r="A6" s="11" t="inlineStr">
        <is>
          <t>Lot Area (sqft)</t>
        </is>
      </c>
      <c r="B6" s="64" t="n">
        <v>15000</v>
      </c>
      <c r="C6" s="34" t="inlineStr">
        <is>
          <t>sqft</t>
        </is>
      </c>
      <c r="D6" s="65" t="n">
        <v>15000</v>
      </c>
      <c r="E6" s="34" t="inlineStr">
        <is>
          <t>sqft</t>
        </is>
      </c>
      <c r="F6" s="66" t="inlineStr">
        <is>
          <t>3 lots combined</t>
        </is>
      </c>
    </row>
    <row r="7" ht="18" customHeight="1">
      <c r="A7" s="12" t="inlineStr">
        <is>
          <t>FSR</t>
        </is>
      </c>
      <c r="B7" s="67" t="n">
        <v>3</v>
      </c>
      <c r="C7" s="37" t="inlineStr"/>
      <c r="D7" s="67" t="n">
        <v>3</v>
      </c>
      <c r="E7" s="37" t="inlineStr"/>
      <c r="F7" s="68" t="inlineStr">
        <is>
          <t>max TOD Tier 3</t>
        </is>
      </c>
    </row>
    <row r="8" ht="18" customHeight="1">
      <c r="A8" s="11" t="inlineStr">
        <is>
          <t>Net Saleable Area (sqft)</t>
        </is>
      </c>
      <c r="B8" s="65" t="n">
        <v>45000</v>
      </c>
      <c r="C8" s="34">
        <f> Lot × FSR</f>
        <v/>
      </c>
      <c r="D8" s="65" t="n">
        <v>45000</v>
      </c>
      <c r="E8" s="34">
        <f> Lot × FSR</f>
        <v/>
      </c>
      <c r="F8" s="66" t="inlineStr">
        <is>
          <t>same FSR, same area</t>
        </is>
      </c>
    </row>
    <row r="9" ht="18" customHeight="1">
      <c r="A9" s="12" t="inlineStr">
        <is>
          <t>Gross Building Area (sqft)</t>
        </is>
      </c>
      <c r="B9" s="67" t="n">
        <v>53100</v>
      </c>
      <c r="C9" s="37">
        <f> net × 1.18</f>
        <v/>
      </c>
      <c r="D9" s="67" t="n">
        <v>53100</v>
      </c>
      <c r="E9" s="37">
        <f> net × 1.18</f>
        <v/>
      </c>
      <c r="F9" s="68" t="inlineStr">
        <is>
          <t>same gross (same FSR &amp; lot)</t>
        </is>
      </c>
    </row>
    <row r="10" ht="18" customHeight="1">
      <c r="A10" s="11" t="inlineStr">
        <is>
          <t>Avg Unit Size (sqft)</t>
        </is>
      </c>
      <c r="B10" s="64" t="n">
        <v>700</v>
      </c>
      <c r="C10" s="34" t="inlineStr">
        <is>
          <t>sqft</t>
        </is>
      </c>
      <c r="D10" s="65" t="n">
        <v>700</v>
      </c>
      <c r="E10" s="34" t="inlineStr">
        <is>
          <t>sqft</t>
        </is>
      </c>
      <c r="F10" s="66" t="inlineStr"/>
    </row>
    <row r="11" ht="18" customHeight="1">
      <c r="A11" s="12" t="inlineStr">
        <is>
          <t>Number of Units</t>
        </is>
      </c>
      <c r="B11" s="67" t="n">
        <v>75</v>
      </c>
      <c r="C11" s="37">
        <f> gross / 700</f>
        <v/>
      </c>
      <c r="D11" s="67" t="n">
        <v>75</v>
      </c>
      <c r="E11" s="37">
        <f> gross / 700</f>
        <v/>
      </c>
      <c r="F11" s="68" t="inlineStr">
        <is>
          <t>same units both scenarios</t>
        </is>
      </c>
    </row>
    <row r="12" ht="18" customHeight="1">
      <c r="A12" s="11" t="inlineStr">
        <is>
          <t>Monthly Rent per Unit</t>
        </is>
      </c>
      <c r="B12" s="65" t="n">
        <v>2100</v>
      </c>
      <c r="C12" s="34" t="inlineStr">
        <is>
          <t>$/month</t>
        </is>
      </c>
      <c r="D12" s="65" t="n">
        <v>2100</v>
      </c>
      <c r="E12" s="34" t="inlineStr">
        <is>
          <t>$/month</t>
        </is>
      </c>
      <c r="F12" s="66" t="inlineStr"/>
    </row>
    <row r="13" ht="18" customHeight="1">
      <c r="A13" s="12" t="inlineStr">
        <is>
          <t>Annual Gross Rent</t>
        </is>
      </c>
      <c r="B13" s="67" t="n">
        <v>1890000</v>
      </c>
      <c r="C13" s="37">
        <f> units × rent × 12</f>
        <v/>
      </c>
      <c r="D13" s="67" t="n">
        <v>1890000</v>
      </c>
      <c r="E13" s="37">
        <f> units × rent × 12</f>
        <v/>
      </c>
      <c r="F13" s="68" t="inlineStr">
        <is>
          <t>same both</t>
        </is>
      </c>
    </row>
    <row r="14" ht="18" customHeight="1">
      <c r="A14" s="11" t="inlineStr">
        <is>
          <t>Vacancy Loss (2%)</t>
        </is>
      </c>
      <c r="B14" s="65" t="n">
        <v>37800</v>
      </c>
      <c r="C14" s="34">
        <f> 2% × gross rent</f>
        <v/>
      </c>
      <c r="D14" s="65" t="n">
        <v>37800</v>
      </c>
      <c r="E14" s="34">
        <f> 2% × gross rent</f>
        <v/>
      </c>
      <c r="F14" s="66" t="inlineStr"/>
    </row>
    <row r="15" ht="18" customHeight="1">
      <c r="A15" s="12" t="inlineStr">
        <is>
          <t>Effective Rent Income</t>
        </is>
      </c>
      <c r="B15" s="67" t="n">
        <v>1852200</v>
      </c>
      <c r="C15" s="37">
        <f> gross - vacancy</f>
        <v/>
      </c>
      <c r="D15" s="67" t="n">
        <v>1852200</v>
      </c>
      <c r="E15" s="37">
        <f> gross - vacancy</f>
        <v/>
      </c>
      <c r="F15" s="68" t="inlineStr"/>
    </row>
    <row r="16" ht="18" customHeight="1">
      <c r="A16" s="11" t="inlineStr">
        <is>
          <t>Operating Costs ($9.50/sqft net)</t>
        </is>
      </c>
      <c r="B16" s="65" t="n">
        <v>427500</v>
      </c>
      <c r="C16" s="34">
        <f> 9.50 × 45,000</f>
        <v/>
      </c>
      <c r="D16" s="65" t="n">
        <v>427500</v>
      </c>
      <c r="E16" s="34">
        <f> 9.50 × 45,000</f>
        <v/>
      </c>
      <c r="F16" s="66" t="inlineStr"/>
    </row>
    <row r="17" ht="18" customHeight="1">
      <c r="A17" s="12" t="inlineStr">
        <is>
          <t>Stabilized NOI</t>
        </is>
      </c>
      <c r="B17" s="67" t="n">
        <v>1424700</v>
      </c>
      <c r="C17" s="37">
        <f> effective - opex</f>
        <v/>
      </c>
      <c r="D17" s="67" t="n">
        <v>1424700</v>
      </c>
      <c r="E17" s="37">
        <f> effective - opex</f>
        <v/>
      </c>
      <c r="F17" s="68" t="inlineStr">
        <is>
          <t>same NOI both scenarios</t>
        </is>
      </c>
    </row>
    <row r="18" ht="18" customHeight="1">
      <c r="A18" s="11" t="inlineStr">
        <is>
          <t>Cap Rate</t>
        </is>
      </c>
      <c r="B18" s="69" t="n">
        <v>0.0575</v>
      </c>
      <c r="C18" s="34" t="inlineStr">
        <is>
          <t>5.75%</t>
        </is>
      </c>
      <c r="D18" s="69" t="n">
        <v>0.0575</v>
      </c>
      <c r="E18" s="34" t="inlineStr">
        <is>
          <t>5.75%</t>
        </is>
      </c>
      <c r="F18" s="66" t="inlineStr"/>
    </row>
    <row r="19" ht="18" customHeight="1">
      <c r="A19" s="70" t="inlineStr">
        <is>
          <t>GROSS DEVELOPMENT VALUE</t>
        </is>
      </c>
      <c r="B19" s="71" t="inlineStr"/>
      <c r="C19" s="42">
        <f> NOI / cap rate</f>
        <v/>
      </c>
      <c r="D19" s="71" t="inlineStr"/>
      <c r="E19" s="42">
        <f> NOI / cap rate</f>
        <v/>
      </c>
      <c r="F19" s="72" t="inlineStr">
        <is>
          <t>SAME GDV — same units, rent, cap rate</t>
        </is>
      </c>
    </row>
    <row r="20" ht="18" customHeight="1"/>
    <row r="21" ht="40" customHeight="1">
      <c r="A21" s="73" t="inlineStr">
        <is>
          <t>KEY INSIGHT: Since both scenarios have the same lot area, FSR, unit count, rent, vacancy and cap rate — GDV is IDENTICAL ($24,777,391) for both 6-storey and 8-storey. The difference in residual land value comes entirely from construction costs (height adds hard costs but not revenue per sqft).</t>
        </is>
      </c>
    </row>
    <row r="22" ht="18" customHeight="1"/>
    <row r="23" ht="18" customHeight="1">
      <c r="A23" s="3" t="inlineStr">
        <is>
          <t>STEP 2 — TOTAL DEVELOPMENT COSTS (EXCL. LAND)</t>
        </is>
      </c>
    </row>
    <row r="24" ht="18" customHeight="1">
      <c r="A24" s="10" t="inlineStr">
        <is>
          <t>Cost Component</t>
        </is>
      </c>
      <c r="B24" s="10" t="inlineStr">
        <is>
          <t>6-Storey ($430/sqft)</t>
        </is>
      </c>
      <c r="C24" s="10" t="inlineStr">
        <is>
          <t>Unit</t>
        </is>
      </c>
      <c r="D24" s="10" t="inlineStr">
        <is>
          <t>8-Storey ($430/sqft)</t>
        </is>
      </c>
      <c r="E24" s="10" t="inlineStr">
        <is>
          <t>Unit</t>
        </is>
      </c>
      <c r="F24" s="10" t="inlineStr">
        <is>
          <t>Notes</t>
        </is>
      </c>
    </row>
    <row r="25" ht="18" customHeight="1">
      <c r="A25" s="11" t="inlineStr">
        <is>
          <t>Hard Construction Cost</t>
        </is>
      </c>
      <c r="B25" s="45" t="n">
        <v>22833000</v>
      </c>
      <c r="C25" s="34" t="inlineStr">
        <is>
          <t>gross sqft × $430</t>
        </is>
      </c>
      <c r="D25" s="45" t="n">
        <v>23974650</v>
      </c>
      <c r="E25" s="34" t="inlineStr">
        <is>
          <t>gross sqft × $430</t>
        </is>
      </c>
      <c r="F25" s="66" t="inlineStr">
        <is>
          <t>6-storey: 53,100 sqft; 8-storey: same gross area</t>
        </is>
      </c>
    </row>
    <row r="26" ht="18" customHeight="1">
      <c r="A26" s="12" t="inlineStr">
        <is>
          <t>Structured Parking</t>
        </is>
      </c>
      <c r="B26" s="43" t="n">
        <v>1050000</v>
      </c>
      <c r="C26" s="37" t="inlineStr">
        <is>
          <t>30 spaces × $35k</t>
        </is>
      </c>
      <c r="D26" s="43" t="n">
        <v>1050000</v>
      </c>
      <c r="E26" s="37" t="inlineStr">
        <is>
          <t>30 spaces × $35k</t>
        </is>
      </c>
      <c r="F26" s="68" t="inlineStr">
        <is>
          <t>same unit count → same parking</t>
        </is>
      </c>
    </row>
    <row r="27" ht="18" customHeight="1">
      <c r="A27" s="49" t="inlineStr">
        <is>
          <t>TOTAL HARD COSTS</t>
        </is>
      </c>
      <c r="B27" s="74" t="n"/>
      <c r="C27" s="75" t="inlineStr">
        <is>
          <t>hard constr + parking</t>
        </is>
      </c>
      <c r="D27" s="74" t="n"/>
      <c r="E27" s="75" t="inlineStr">
        <is>
          <t>hard constr + parking</t>
        </is>
      </c>
      <c r="F27" s="76" t="inlineStr">
        <is>
          <t>Higher for 8-storey (more structure)</t>
        </is>
      </c>
    </row>
    <row r="28" ht="18" customHeight="1">
      <c r="A28" s="47" t="n"/>
      <c r="B28" s="47" t="n"/>
      <c r="C28" s="47" t="n"/>
      <c r="D28" s="47" t="n"/>
      <c r="E28" s="47" t="n"/>
      <c r="F28" s="47" t="n"/>
    </row>
    <row r="29" ht="18" customHeight="1">
      <c r="A29" s="77" t="inlineStr">
        <is>
          <t>Soft Costs:</t>
        </is>
      </c>
      <c r="B29" s="78" t="n"/>
      <c r="C29" s="42" t="inlineStr"/>
      <c r="D29" s="78" t="n"/>
      <c r="E29" s="42" t="inlineStr"/>
      <c r="F29" s="72" t="inlineStr"/>
    </row>
    <row r="30" ht="18" customHeight="1">
      <c r="A30" s="12" t="inlineStr">
        <is>
          <t xml:space="preserve">  Architecture &amp; Engineering (8%)</t>
        </is>
      </c>
      <c r="B30" s="43" t="n">
        <v>1826640</v>
      </c>
      <c r="C30" s="37" t="inlineStr">
        <is>
          <t>8% × hard constr</t>
        </is>
      </c>
      <c r="D30" s="43" t="n">
        <v>1917972</v>
      </c>
      <c r="E30" s="37" t="inlineStr">
        <is>
          <t>8% × hard constr</t>
        </is>
      </c>
      <c r="F30" s="68" t="inlineStr"/>
    </row>
    <row r="31" ht="18" customHeight="1">
      <c r="A31" s="11" t="inlineStr">
        <is>
          <t xml:space="preserve">  Project Management (3%)</t>
        </is>
      </c>
      <c r="B31" s="45" t="n">
        <v>684990</v>
      </c>
      <c r="C31" s="34" t="inlineStr">
        <is>
          <t>3% × hard constr</t>
        </is>
      </c>
      <c r="D31" s="45" t="n">
        <v>719239.5</v>
      </c>
      <c r="E31" s="34" t="inlineStr">
        <is>
          <t>3% × hard constr</t>
        </is>
      </c>
      <c r="F31" s="66" t="inlineStr"/>
    </row>
    <row r="32" ht="18" customHeight="1">
      <c r="A32" s="12" t="inlineStr">
        <is>
          <t xml:space="preserve">  Marketing (2% GDV)</t>
        </is>
      </c>
      <c r="B32" s="43" t="n">
        <v>495547.8260869565</v>
      </c>
      <c r="C32" s="37" t="inlineStr">
        <is>
          <t>2% × GDV</t>
        </is>
      </c>
      <c r="D32" s="43" t="n">
        <v>495547.8260869565</v>
      </c>
      <c r="E32" s="37" t="inlineStr">
        <is>
          <t>2% × GDV</t>
        </is>
      </c>
      <c r="F32" s="68" t="inlineStr">
        <is>
          <t>same GDV → same mktg</t>
        </is>
      </c>
    </row>
    <row r="33" ht="18" customHeight="1">
      <c r="A33" s="11" t="inlineStr">
        <is>
          <t xml:space="preserve">  Legal</t>
        </is>
      </c>
      <c r="B33" s="45" t="n">
        <v>150000</v>
      </c>
      <c r="C33" s="34" t="inlineStr">
        <is>
          <t>fixed $150k</t>
        </is>
      </c>
      <c r="D33" s="45" t="n">
        <v>150000</v>
      </c>
      <c r="E33" s="34" t="inlineStr">
        <is>
          <t>fixed $150k</t>
        </is>
      </c>
      <c r="F33" s="66" t="inlineStr">
        <is>
          <t>same</t>
        </is>
      </c>
    </row>
    <row r="34" ht="18" customHeight="1">
      <c r="A34" s="12" t="inlineStr">
        <is>
          <t xml:space="preserve">  Permits &amp; Fees ($12/sqft net)</t>
        </is>
      </c>
      <c r="B34" s="43" t="n">
        <v>540000</v>
      </c>
      <c r="C34" s="37" t="inlineStr">
        <is>
          <t>$12 × 45,000 sqft</t>
        </is>
      </c>
      <c r="D34" s="43" t="n">
        <v>540000</v>
      </c>
      <c r="E34" s="37" t="inlineStr">
        <is>
          <t>$12 × 45,000 sqft</t>
        </is>
      </c>
      <c r="F34" s="68" t="inlineStr">
        <is>
          <t>same storey area</t>
        </is>
      </c>
    </row>
    <row r="35" ht="18" customHeight="1">
      <c r="A35" s="11" t="inlineStr">
        <is>
          <t xml:space="preserve">  DCL New Westminster ($18.17/sqft)</t>
        </is>
      </c>
      <c r="B35" s="45" t="n">
        <v>817650.0000000001</v>
      </c>
      <c r="C35" s="34" t="inlineStr">
        <is>
          <t>$18.17 × 45,000</t>
        </is>
      </c>
      <c r="D35" s="45" t="n">
        <v>817650.0000000001</v>
      </c>
      <c r="E35" s="34" t="inlineStr">
        <is>
          <t>$18.17 × 45,000</t>
        </is>
      </c>
      <c r="F35" s="66" t="inlineStr">
        <is>
          <t>same storey area</t>
        </is>
      </c>
    </row>
    <row r="36" ht="18" customHeight="1">
      <c r="A36" s="49" t="inlineStr">
        <is>
          <t>TOTAL SOFT COSTS</t>
        </is>
      </c>
      <c r="B36" s="74" t="n"/>
      <c r="C36" s="75" t="inlineStr">
        <is>
          <t>sum soft costs</t>
        </is>
      </c>
      <c r="D36" s="74" t="n"/>
      <c r="E36" s="75" t="inlineStr">
        <is>
          <t>sum soft costs</t>
        </is>
      </c>
      <c r="F36" s="76" t="inlineStr">
        <is>
          <t>same soft costs (same GFA)</t>
        </is>
      </c>
    </row>
    <row r="37" ht="18" customHeight="1">
      <c r="A37" s="47" t="n"/>
      <c r="B37" s="47" t="n"/>
      <c r="C37" s="47" t="n"/>
      <c r="D37" s="47" t="n"/>
      <c r="E37" s="47" t="n"/>
      <c r="F37" s="47" t="n"/>
    </row>
    <row r="38" ht="18" customHeight="1">
      <c r="A38" s="12" t="inlineStr">
        <is>
          <t>Interest Reserve (18 mo @ 6.5%)</t>
        </is>
      </c>
      <c r="B38" s="43" t="n">
        <v>2328592.5</v>
      </c>
      <c r="C38" s="37" t="inlineStr">
        <is>
          <t>hard costs × 6.5% × 1.5</t>
        </is>
      </c>
      <c r="D38" s="43" t="n">
        <v>2439903.375</v>
      </c>
      <c r="E38" s="37" t="inlineStr">
        <is>
          <t>hard costs × 6.5% × 1.5</t>
        </is>
      </c>
      <c r="F38" s="68" t="inlineStr">
        <is>
          <t>higher for 8-storey</t>
        </is>
      </c>
    </row>
    <row r="39" ht="18" customHeight="1">
      <c r="A39" s="11" t="inlineStr">
        <is>
          <t>Permanent Financing Fee (1% GDV)</t>
        </is>
      </c>
      <c r="B39" s="45" t="n">
        <v>247773.9130434782</v>
      </c>
      <c r="C39" s="34" t="inlineStr">
        <is>
          <t>1% × GDV</t>
        </is>
      </c>
      <c r="D39" s="45" t="n">
        <v>247773.9130434782</v>
      </c>
      <c r="E39" s="34" t="inlineStr">
        <is>
          <t>1% × GDV</t>
        </is>
      </c>
      <c r="F39" s="66" t="inlineStr">
        <is>
          <t>same GDV → same fee</t>
        </is>
      </c>
    </row>
    <row r="40" ht="18" customHeight="1">
      <c r="A40" s="49" t="inlineStr">
        <is>
          <t>TOTAL FINANCING COSTS</t>
        </is>
      </c>
      <c r="B40" s="74" t="n"/>
      <c r="C40" s="75" t="inlineStr">
        <is>
          <t>interest + perm fee</t>
        </is>
      </c>
      <c r="D40" s="74" t="n"/>
      <c r="E40" s="75" t="inlineStr">
        <is>
          <t>interest + perm fee</t>
        </is>
      </c>
      <c r="F40" s="76" t="inlineStr"/>
    </row>
    <row r="41" ht="18" customHeight="1">
      <c r="A41" s="47" t="n"/>
      <c r="B41" s="47" t="n"/>
      <c r="C41" s="47" t="n"/>
      <c r="D41" s="47" t="n"/>
      <c r="E41" s="47" t="n"/>
      <c r="F41" s="47" t="n"/>
    </row>
    <row r="42" ht="18" customHeight="1">
      <c r="A42" s="12" t="inlineStr">
        <is>
          <t>Developer Profit (15% GDV)</t>
        </is>
      </c>
      <c r="B42" s="43" t="n">
        <v>3716608.695652173</v>
      </c>
      <c r="C42" s="37" t="inlineStr">
        <is>
          <t>15% × GDV</t>
        </is>
      </c>
      <c r="D42" s="43" t="n">
        <v>3716608.695652173</v>
      </c>
      <c r="E42" s="37" t="inlineStr">
        <is>
          <t>15% × GDV</t>
        </is>
      </c>
      <c r="F42" s="68" t="inlineStr">
        <is>
          <t>same GDV → same profit</t>
        </is>
      </c>
    </row>
    <row r="43" ht="18" customHeight="1">
      <c r="A43" s="49" t="inlineStr">
        <is>
          <t>TOTAL COSTS (excl. land)</t>
        </is>
      </c>
      <c r="B43" s="74" t="n"/>
      <c r="C43" s="75" t="inlineStr">
        <is>
          <t>hard + soft + fin + profit</t>
        </is>
      </c>
      <c r="D43" s="74" t="n"/>
      <c r="E43" s="75" t="inlineStr">
        <is>
          <t>hard + soft + fin + profit</t>
        </is>
      </c>
      <c r="F43" s="76" t="inlineStr">
        <is>
          <t>6-storey is lower</t>
        </is>
      </c>
    </row>
    <row r="44" ht="18" customHeight="1">
      <c r="A44" s="47" t="n"/>
      <c r="B44" s="47" t="n"/>
      <c r="C44" s="47" t="n"/>
      <c r="D44" s="47" t="n"/>
      <c r="E44" s="47" t="n"/>
      <c r="F44" s="47" t="n"/>
    </row>
    <row r="45" ht="18" customHeight="1"/>
    <row r="46" ht="18" customHeight="1">
      <c r="A46" s="3" t="inlineStr">
        <is>
          <t>STEP 3 — RESIDUAL LAND VALUE</t>
        </is>
      </c>
    </row>
    <row r="47" ht="18" customHeight="1">
      <c r="A47" s="10" t="inlineStr"/>
      <c r="B47" s="10" t="inlineStr">
        <is>
          <t>6-Storey</t>
        </is>
      </c>
      <c r="C47" s="10" t="inlineStr"/>
      <c r="D47" s="10" t="inlineStr">
        <is>
          <t>8-Storey</t>
        </is>
      </c>
      <c r="E47" s="10" t="inlineStr"/>
      <c r="F47" s="10" t="inlineStr">
        <is>
          <t>Notes</t>
        </is>
      </c>
    </row>
    <row r="48" ht="18" customHeight="1">
      <c r="A48" s="7" t="inlineStr">
        <is>
          <t>Gross Development Value (GDV)</t>
        </is>
      </c>
      <c r="B48" s="45" t="n">
        <v>24777391.30434782</v>
      </c>
      <c r="C48" s="15" t="inlineStr"/>
      <c r="D48" s="45" t="n">
        <v>24777391.30434782</v>
      </c>
      <c r="E48" s="15" t="inlineStr"/>
      <c r="F48" s="79" t="inlineStr">
        <is>
          <t>same for both scenarios</t>
        </is>
      </c>
    </row>
    <row r="49" ht="18" customHeight="1">
      <c r="A49" s="4" t="inlineStr">
        <is>
          <t>Less: Total Hard Costs</t>
        </is>
      </c>
      <c r="B49" s="43" t="n">
        <v>-23883000</v>
      </c>
      <c r="C49" s="18" t="inlineStr"/>
      <c r="D49" s="43" t="n">
        <v>-25024650</v>
      </c>
      <c r="E49" s="18" t="inlineStr"/>
      <c r="F49" s="80" t="inlineStr">
        <is>
          <t>higher for 8-storey</t>
        </is>
      </c>
    </row>
    <row r="50" ht="18" customHeight="1">
      <c r="A50" s="7" t="inlineStr">
        <is>
          <t>Less: Total Soft Costs</t>
        </is>
      </c>
      <c r="B50" s="45" t="n">
        <v>-4514827.826086957</v>
      </c>
      <c r="C50" s="15" t="inlineStr"/>
      <c r="D50" s="45" t="n">
        <v>-4640409.326086957</v>
      </c>
      <c r="E50" s="15" t="inlineStr"/>
      <c r="F50" s="79" t="inlineStr">
        <is>
          <t>same for both</t>
        </is>
      </c>
    </row>
    <row r="51" ht="18" customHeight="1">
      <c r="A51" s="4" t="inlineStr">
        <is>
          <t>Less: Total Financing Costs</t>
        </is>
      </c>
      <c r="B51" s="43" t="n">
        <v>-2576366.413043478</v>
      </c>
      <c r="C51" s="18" t="inlineStr"/>
      <c r="D51" s="43" t="n">
        <v>-2687677.288043478</v>
      </c>
      <c r="E51" s="18" t="inlineStr"/>
      <c r="F51" s="80" t="inlineStr">
        <is>
          <t>higher for 8-storey</t>
        </is>
      </c>
    </row>
    <row r="52" ht="18" customHeight="1">
      <c r="A52" s="7" t="inlineStr">
        <is>
          <t>Less: Developer Profit (15%)</t>
        </is>
      </c>
      <c r="B52" s="45" t="n">
        <v>-3716608.695652173</v>
      </c>
      <c r="C52" s="15" t="inlineStr"/>
      <c r="D52" s="45" t="n">
        <v>-3716608.695652173</v>
      </c>
      <c r="E52" s="15" t="inlineStr"/>
      <c r="F52" s="79" t="inlineStr">
        <is>
          <t>same for both</t>
        </is>
      </c>
    </row>
    <row r="53" ht="18" customHeight="1">
      <c r="A53" s="24" t="inlineStr">
        <is>
          <t>RESIDUAL LAND VALUE</t>
        </is>
      </c>
      <c r="B53" s="56" t="n">
        <v>-9913411.630434785</v>
      </c>
      <c r="C53" s="26" t="inlineStr"/>
      <c r="D53" s="56" t="n">
        <v>-11291954.00543479</v>
      </c>
      <c r="E53" s="26" t="inlineStr"/>
      <c r="F53" s="81" t="inlineStr">
        <is>
          <t>higher for 6-storey (lower costs)</t>
        </is>
      </c>
    </row>
    <row r="54" ht="18" customHeight="1">
      <c r="A54" s="7" t="inlineStr">
        <is>
          <t>Less: BC Property Transfer Tax</t>
        </is>
      </c>
      <c r="B54" s="45" t="n">
        <v>99134.11630434786</v>
      </c>
      <c r="C54" s="15" t="inlineStr"/>
      <c r="D54" s="45" t="n">
        <v>112919.5400543478</v>
      </c>
      <c r="E54" s="15" t="inlineStr"/>
      <c r="F54" s="79" t="inlineStr">
        <is>
          <t>approx. marginal</t>
        </is>
      </c>
    </row>
    <row r="55" ht="18" customHeight="1">
      <c r="A55" s="24" t="inlineStr">
        <is>
          <t>NET RESIDUAL LAND VALUE</t>
        </is>
      </c>
      <c r="B55" s="56" t="n">
        <v>-9814277.514130438</v>
      </c>
      <c r="C55" s="26" t="inlineStr"/>
      <c r="D55" s="56" t="n">
        <v>-11179034.46538044</v>
      </c>
      <c r="E55" s="26" t="inlineStr"/>
      <c r="F55" s="81" t="inlineStr">
        <is>
          <t>actual land acquisition capacity</t>
        </is>
      </c>
    </row>
    <row r="56" ht="18" customHeight="1"/>
    <row r="57" ht="18" customHeight="1"/>
    <row r="58" ht="18" customHeight="1">
      <c r="A58" s="3" t="inlineStr">
        <is>
          <t>SUMMARY</t>
        </is>
      </c>
    </row>
    <row r="59" ht="18" customHeight="1">
      <c r="A59" s="70" t="inlineStr">
        <is>
          <t>Metric</t>
        </is>
      </c>
      <c r="B59" s="71" t="inlineStr">
        <is>
          <t>6-Storey</t>
        </is>
      </c>
      <c r="C59" s="71" t="inlineStr">
        <is>
          <t>8-Storey</t>
        </is>
      </c>
      <c r="D59" s="82" t="inlineStr">
        <is>
          <t>Difference (8 - 6)</t>
        </is>
      </c>
      <c r="E59" s="71" t="inlineStr"/>
      <c r="F59" s="71" t="inlineStr"/>
    </row>
    <row r="60" ht="18" customHeight="1">
      <c r="A60" s="12" t="inlineStr">
        <is>
          <t>GDV</t>
        </is>
      </c>
      <c r="B60" s="67" t="n">
        <v>24777391.30434782</v>
      </c>
      <c r="C60" s="67" t="n">
        <v>24777391.30434782</v>
      </c>
      <c r="D60" s="83" t="n">
        <v>0</v>
      </c>
      <c r="E60" s="84" t="inlineStr"/>
      <c r="F60" s="84" t="inlineStr">
        <is>
          <t>same</t>
        </is>
      </c>
    </row>
    <row r="61" ht="18" customHeight="1">
      <c r="A61" s="11" t="inlineStr">
        <is>
          <t>Total Development Costs (excl. land)</t>
        </is>
      </c>
      <c r="B61" s="65" t="n">
        <v>34690802.93478261</v>
      </c>
      <c r="C61" s="65" t="n">
        <v>36069345.30978261</v>
      </c>
      <c r="D61" s="85" t="n">
        <v>1378542.375</v>
      </c>
      <c r="E61" s="86" t="inlineStr"/>
      <c r="F61" s="86" t="inlineStr">
        <is>
          <t>8-storey higher</t>
        </is>
      </c>
    </row>
    <row r="62" ht="18" customHeight="1">
      <c r="A62" s="49" t="inlineStr">
        <is>
          <t>RESIDUAL LAND VALUE</t>
        </is>
      </c>
      <c r="B62" s="87" t="n">
        <v>-9913411.630434785</v>
      </c>
      <c r="C62" s="87" t="n">
        <v>-11291954.00543479</v>
      </c>
      <c r="D62" s="88" t="n">
        <v>-1378542.375</v>
      </c>
      <c r="E62" s="89" t="inlineStr"/>
      <c r="F62" s="89" t="inlineStr">
        <is>
          <t>6-storey higher (lower costs)</t>
        </is>
      </c>
    </row>
    <row r="63" ht="18" customHeight="1">
      <c r="A63" s="11" t="inlineStr">
        <is>
          <t>Net Residual (after tax)</t>
        </is>
      </c>
      <c r="B63" s="65" t="n">
        <v>-9814277.514130438</v>
      </c>
      <c r="C63" s="65" t="n">
        <v>-11179034.46538044</v>
      </c>
      <c r="D63" s="85" t="n">
        <v>-1364756.95125</v>
      </c>
      <c r="E63" s="86" t="inlineStr"/>
      <c r="F63" s="86" t="inlineStr">
        <is>
          <t>6-storey higher</t>
        </is>
      </c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7">
    <mergeCell ref="A2:F2"/>
    <mergeCell ref="A46:F46"/>
    <mergeCell ref="A1:F1"/>
    <mergeCell ref="A23:F23"/>
    <mergeCell ref="A58:F58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2026-05-30T18:51:50Z</dcterms:created>
  <dcterms:modified xmlns:dcterms="http://purl.org/dc/terms/" xmlns:xsi="http://www.w3.org/2001/XMLSchema-instance" xsi:type="dcterms:W3CDTF">2026-05-30T18:51:50Z</dcterms:modified>
</cp:coreProperties>
</file>